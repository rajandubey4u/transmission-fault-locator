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09"/>
  <workbookPr/>
  <mc:AlternateContent xmlns:mc="http://schemas.openxmlformats.org/markup-compatibility/2006">
    <mc:Choice Requires="x15">
      <x15ac:absPath xmlns:x15ac="http://schemas.microsoft.com/office/spreadsheetml/2010/11/ac" url="/Users/rajan/Downloads/"/>
    </mc:Choice>
  </mc:AlternateContent>
  <xr:revisionPtr revIDLastSave="0" documentId="13_ncr:1_{5B962A73-8CC5-594B-8907-06944877F74E}" xr6:coauthVersionLast="47" xr6:coauthVersionMax="47" xr10:uidLastSave="{00000000-0000-0000-0000-000000000000}"/>
  <bookViews>
    <workbookView xWindow="20" yWindow="500" windowWidth="25600" windowHeight="14180" xr2:uid="{00000000-000D-0000-FFFF-FFFF00000000}"/>
  </bookViews>
  <sheets>
    <sheet name="L#259 MTPS-RANCHI" sheetId="3" r:id="rId1"/>
    <sheet name="L#249 RAMGARH-RANCHI" sheetId="7" r:id="rId2"/>
    <sheet name="L#250 MTPS-RAMGARH" sheetId="8" r:id="rId3"/>
    <sheet name="L#213 AND L#214 JSR-BTPS" sheetId="15" r:id="rId4"/>
    <sheet name="L#233 AND L234 RAMGARH-BTPS" sheetId="14" r:id="rId5"/>
  </sheets>
  <externalReferences>
    <externalReference r:id="rId6"/>
  </externalReferences>
  <definedNames>
    <definedName name="_xlnm._FilterDatabase" localSheetId="3" hidden="1">'L#213 AND L#214 JSR-BTPS'!$A$1:$I$503</definedName>
    <definedName name="_xlnm._FilterDatabase" localSheetId="4" hidden="1">'L#233 AND L234 RAMGARH-BTPS'!$A$1:$I$184</definedName>
    <definedName name="_xlnm._FilterDatabase" localSheetId="1" hidden="1">'L#249 RAMGARH-RANCHI'!$A$1:$I$358</definedName>
    <definedName name="_xlnm._FilterDatabase" localSheetId="2" hidden="1">'L#250 MTPS-RAMGARH'!$A$1:$I$687</definedName>
    <definedName name="_xlnm._FilterDatabase" localSheetId="0" hidden="1">'L#259 MTPS-RANCHI'!$A$1:$I$784</definedName>
    <definedName name="RelayList">CHOOSE(MATCH(#REF!,{"L#259","L#250","L#249"},0),[1]Lists!$B$2:$C$2,[1]Lists!$B$3:$C$3,[1]Lists!$B$4:$C$4)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14" l="1"/>
  <c r="G5" i="14" s="1"/>
  <c r="G6" i="14" s="1"/>
  <c r="G7" i="14" s="1"/>
  <c r="G8" i="14" s="1"/>
  <c r="G9" i="14" s="1"/>
  <c r="G10" i="14" s="1"/>
  <c r="G11" i="14" s="1"/>
  <c r="G12" i="14" s="1"/>
  <c r="G13" i="14" s="1"/>
  <c r="G14" i="14" s="1"/>
  <c r="G15" i="14" s="1"/>
  <c r="G16" i="14" s="1"/>
  <c r="G17" i="14" s="1"/>
  <c r="G18" i="14" s="1"/>
  <c r="G19" i="14" s="1"/>
  <c r="G20" i="14" s="1"/>
  <c r="G21" i="14" s="1"/>
  <c r="G22" i="14" s="1"/>
  <c r="G23" i="14" s="1"/>
  <c r="G24" i="14" s="1"/>
  <c r="G25" i="14" s="1"/>
  <c r="G26" i="14" s="1"/>
  <c r="G27" i="14" s="1"/>
  <c r="G28" i="14" s="1"/>
  <c r="G29" i="14" s="1"/>
  <c r="G30" i="14" s="1"/>
  <c r="G31" i="14" s="1"/>
  <c r="G32" i="14" s="1"/>
  <c r="G33" i="14" s="1"/>
  <c r="G34" i="14" s="1"/>
  <c r="G35" i="14" s="1"/>
  <c r="G36" i="14" s="1"/>
  <c r="G37" i="14" s="1"/>
  <c r="G38" i="14" s="1"/>
  <c r="G39" i="14" s="1"/>
  <c r="G40" i="14" s="1"/>
  <c r="G41" i="14" s="1"/>
  <c r="G42" i="14" s="1"/>
  <c r="G43" i="14" s="1"/>
  <c r="G44" i="14" s="1"/>
  <c r="G45" i="14" s="1"/>
  <c r="G46" i="14" s="1"/>
  <c r="G47" i="14" s="1"/>
  <c r="G48" i="14" s="1"/>
  <c r="G49" i="14" s="1"/>
  <c r="G50" i="14" s="1"/>
  <c r="G51" i="14" s="1"/>
  <c r="G52" i="14" s="1"/>
  <c r="G53" i="14" s="1"/>
  <c r="G54" i="14" s="1"/>
  <c r="G55" i="14" s="1"/>
  <c r="G56" i="14" s="1"/>
  <c r="G57" i="14" s="1"/>
  <c r="G58" i="14" s="1"/>
  <c r="G59" i="14" s="1"/>
  <c r="G60" i="14" s="1"/>
  <c r="G61" i="14" s="1"/>
  <c r="G62" i="14" s="1"/>
  <c r="G63" i="14" s="1"/>
  <c r="G64" i="14" s="1"/>
  <c r="G65" i="14" s="1"/>
  <c r="G66" i="14" s="1"/>
  <c r="G67" i="14" s="1"/>
  <c r="G68" i="14" s="1"/>
  <c r="G69" i="14" s="1"/>
  <c r="G70" i="14" s="1"/>
  <c r="G71" i="14" s="1"/>
  <c r="G72" i="14" s="1"/>
  <c r="G73" i="14" s="1"/>
  <c r="G74" i="14" s="1"/>
  <c r="G75" i="14" s="1"/>
  <c r="G76" i="14" s="1"/>
  <c r="G77" i="14" s="1"/>
  <c r="G78" i="14" s="1"/>
  <c r="G79" i="14" s="1"/>
  <c r="G80" i="14" s="1"/>
  <c r="G81" i="14" s="1"/>
  <c r="G82" i="14" s="1"/>
  <c r="G83" i="14" s="1"/>
  <c r="G84" i="14" s="1"/>
  <c r="G85" i="14" s="1"/>
  <c r="G86" i="14" s="1"/>
  <c r="G87" i="14" s="1"/>
  <c r="G88" i="14" s="1"/>
  <c r="G89" i="14" s="1"/>
  <c r="G90" i="14" s="1"/>
  <c r="G91" i="14" s="1"/>
  <c r="G92" i="14" s="1"/>
  <c r="G93" i="14" s="1"/>
  <c r="G94" i="14" s="1"/>
  <c r="G95" i="14" s="1"/>
  <c r="G96" i="14" s="1"/>
  <c r="G97" i="14" s="1"/>
  <c r="G98" i="14" s="1"/>
  <c r="G99" i="14" s="1"/>
  <c r="G100" i="14" s="1"/>
  <c r="G101" i="14" s="1"/>
  <c r="G102" i="14" s="1"/>
  <c r="G103" i="14" s="1"/>
  <c r="G104" i="14" s="1"/>
  <c r="G105" i="14" s="1"/>
  <c r="G106" i="14" s="1"/>
  <c r="G107" i="14" s="1"/>
  <c r="G108" i="14" s="1"/>
  <c r="G109" i="14" s="1"/>
  <c r="G110" i="14" s="1"/>
  <c r="G111" i="14" s="1"/>
  <c r="G112" i="14" s="1"/>
  <c r="G113" i="14" s="1"/>
  <c r="G114" i="14" s="1"/>
  <c r="G115" i="14" s="1"/>
  <c r="G116" i="14" s="1"/>
  <c r="G117" i="14" s="1"/>
  <c r="G118" i="14" s="1"/>
  <c r="G119" i="14" s="1"/>
  <c r="G120" i="14" s="1"/>
  <c r="G121" i="14" s="1"/>
  <c r="G122" i="14" s="1"/>
  <c r="G123" i="14" s="1"/>
  <c r="G124" i="14" s="1"/>
  <c r="G125" i="14" s="1"/>
  <c r="G126" i="14" s="1"/>
  <c r="G127" i="14" s="1"/>
  <c r="G128" i="14" s="1"/>
  <c r="G129" i="14" s="1"/>
  <c r="G130" i="14" s="1"/>
  <c r="G131" i="14" s="1"/>
  <c r="G132" i="14" s="1"/>
  <c r="G133" i="14" s="1"/>
  <c r="G134" i="14" s="1"/>
  <c r="G135" i="14" s="1"/>
  <c r="G136" i="14" s="1"/>
  <c r="G137" i="14" s="1"/>
  <c r="G138" i="14" s="1"/>
  <c r="G139" i="14" s="1"/>
  <c r="G140" i="14" s="1"/>
  <c r="G141" i="14" s="1"/>
  <c r="G142" i="14" s="1"/>
  <c r="G143" i="14" s="1"/>
  <c r="G144" i="14" s="1"/>
  <c r="G145" i="14" s="1"/>
  <c r="G146" i="14" s="1"/>
  <c r="G147" i="14" s="1"/>
  <c r="G148" i="14" s="1"/>
  <c r="G149" i="14" s="1"/>
  <c r="G150" i="14" s="1"/>
  <c r="G151" i="14" s="1"/>
  <c r="G152" i="14" s="1"/>
  <c r="G153" i="14" s="1"/>
  <c r="G154" i="14" s="1"/>
  <c r="G155" i="14" s="1"/>
  <c r="G156" i="14" s="1"/>
  <c r="G157" i="14" s="1"/>
  <c r="G158" i="14" s="1"/>
  <c r="G159" i="14" s="1"/>
  <c r="G160" i="14" s="1"/>
  <c r="G161" i="14" s="1"/>
  <c r="G162" i="14" s="1"/>
  <c r="G163" i="14" s="1"/>
  <c r="G164" i="14" s="1"/>
  <c r="G165" i="14" s="1"/>
  <c r="G166" i="14" s="1"/>
  <c r="G167" i="14" s="1"/>
  <c r="G168" i="14" s="1"/>
  <c r="G169" i="14" s="1"/>
  <c r="G170" i="14" s="1"/>
  <c r="G171" i="14" s="1"/>
  <c r="G172" i="14" s="1"/>
  <c r="G173" i="14" s="1"/>
  <c r="G174" i="14" s="1"/>
  <c r="G175" i="14" s="1"/>
  <c r="G176" i="14" s="1"/>
  <c r="G177" i="14" s="1"/>
  <c r="G178" i="14" s="1"/>
  <c r="G179" i="14" s="1"/>
  <c r="G180" i="14" s="1"/>
  <c r="G181" i="14" s="1"/>
  <c r="G182" i="14" s="1"/>
  <c r="G183" i="14" s="1"/>
  <c r="G184" i="14" s="1"/>
  <c r="G3" i="14"/>
  <c r="G2" i="14"/>
  <c r="G4" i="15"/>
  <c r="G5" i="15" s="1"/>
  <c r="G6" i="15" s="1"/>
  <c r="G7" i="15" s="1"/>
  <c r="G8" i="15" s="1"/>
  <c r="G9" i="15" s="1"/>
  <c r="G10" i="15" s="1"/>
  <c r="G11" i="15" s="1"/>
  <c r="G12" i="15" s="1"/>
  <c r="G13" i="15" s="1"/>
  <c r="G14" i="15" s="1"/>
  <c r="G15" i="15" s="1"/>
  <c r="G16" i="15" s="1"/>
  <c r="G17" i="15" s="1"/>
  <c r="G18" i="15" s="1"/>
  <c r="G19" i="15" s="1"/>
  <c r="G20" i="15" s="1"/>
  <c r="G21" i="15" s="1"/>
  <c r="G22" i="15" s="1"/>
  <c r="G23" i="15" s="1"/>
  <c r="G24" i="15" s="1"/>
  <c r="G25" i="15" s="1"/>
  <c r="G26" i="15" s="1"/>
  <c r="G27" i="15" s="1"/>
  <c r="G28" i="15" s="1"/>
  <c r="G29" i="15" s="1"/>
  <c r="G30" i="15" s="1"/>
  <c r="G31" i="15" s="1"/>
  <c r="G32" i="15" s="1"/>
  <c r="G33" i="15" s="1"/>
  <c r="G34" i="15" s="1"/>
  <c r="G35" i="15" s="1"/>
  <c r="G36" i="15" s="1"/>
  <c r="G37" i="15" s="1"/>
  <c r="G38" i="15" s="1"/>
  <c r="G39" i="15" s="1"/>
  <c r="G40" i="15" s="1"/>
  <c r="G41" i="15" s="1"/>
  <c r="G42" i="15" s="1"/>
  <c r="G43" i="15" s="1"/>
  <c r="G44" i="15" s="1"/>
  <c r="G45" i="15" s="1"/>
  <c r="G46" i="15" s="1"/>
  <c r="G47" i="15" s="1"/>
  <c r="G48" i="15" s="1"/>
  <c r="G49" i="15" s="1"/>
  <c r="G50" i="15" s="1"/>
  <c r="G51" i="15" s="1"/>
  <c r="G52" i="15" s="1"/>
  <c r="G53" i="15" s="1"/>
  <c r="G54" i="15" s="1"/>
  <c r="G55" i="15" s="1"/>
  <c r="G56" i="15" s="1"/>
  <c r="G57" i="15" s="1"/>
  <c r="G58" i="15" s="1"/>
  <c r="G59" i="15" s="1"/>
  <c r="G60" i="15" s="1"/>
  <c r="G61" i="15" s="1"/>
  <c r="G62" i="15" s="1"/>
  <c r="G63" i="15" s="1"/>
  <c r="G64" i="15" s="1"/>
  <c r="G65" i="15" s="1"/>
  <c r="G66" i="15" s="1"/>
  <c r="G67" i="15" s="1"/>
  <c r="G68" i="15" s="1"/>
  <c r="G69" i="15" s="1"/>
  <c r="G70" i="15" s="1"/>
  <c r="G71" i="15" s="1"/>
  <c r="G72" i="15" s="1"/>
  <c r="G73" i="15" s="1"/>
  <c r="G74" i="15" s="1"/>
  <c r="G75" i="15" s="1"/>
  <c r="G76" i="15" s="1"/>
  <c r="G77" i="15" s="1"/>
  <c r="G78" i="15" s="1"/>
  <c r="G79" i="15" s="1"/>
  <c r="G80" i="15" s="1"/>
  <c r="G81" i="15" s="1"/>
  <c r="G82" i="15" s="1"/>
  <c r="G83" i="15" s="1"/>
  <c r="G84" i="15" s="1"/>
  <c r="G85" i="15" s="1"/>
  <c r="G86" i="15" s="1"/>
  <c r="G87" i="15" s="1"/>
  <c r="G88" i="15" s="1"/>
  <c r="G89" i="15" s="1"/>
  <c r="G90" i="15" s="1"/>
  <c r="G91" i="15" s="1"/>
  <c r="G92" i="15" s="1"/>
  <c r="G93" i="15" s="1"/>
  <c r="G94" i="15" s="1"/>
  <c r="G95" i="15" s="1"/>
  <c r="G96" i="15" s="1"/>
  <c r="G97" i="15" s="1"/>
  <c r="G98" i="15" s="1"/>
  <c r="G99" i="15" s="1"/>
  <c r="G100" i="15" s="1"/>
  <c r="G101" i="15" s="1"/>
  <c r="G102" i="15" s="1"/>
  <c r="G103" i="15" s="1"/>
  <c r="G104" i="15" s="1"/>
  <c r="G105" i="15" s="1"/>
  <c r="G106" i="15" s="1"/>
  <c r="G107" i="15" s="1"/>
  <c r="G108" i="15" s="1"/>
  <c r="G109" i="15" s="1"/>
  <c r="G110" i="15" s="1"/>
  <c r="G111" i="15" s="1"/>
  <c r="G112" i="15" s="1"/>
  <c r="G113" i="15" s="1"/>
  <c r="G114" i="15" s="1"/>
  <c r="G115" i="15" s="1"/>
  <c r="G116" i="15" s="1"/>
  <c r="G117" i="15" s="1"/>
  <c r="G118" i="15" s="1"/>
  <c r="G119" i="15" s="1"/>
  <c r="G120" i="15" s="1"/>
  <c r="G121" i="15" s="1"/>
  <c r="G122" i="15" s="1"/>
  <c r="G123" i="15" s="1"/>
  <c r="G124" i="15" s="1"/>
  <c r="G125" i="15" s="1"/>
  <c r="G126" i="15" s="1"/>
  <c r="G127" i="15" s="1"/>
  <c r="G128" i="15" s="1"/>
  <c r="G129" i="15" s="1"/>
  <c r="G130" i="15" s="1"/>
  <c r="G131" i="15" s="1"/>
  <c r="G132" i="15" s="1"/>
  <c r="G133" i="15" s="1"/>
  <c r="G134" i="15" s="1"/>
  <c r="G135" i="15" s="1"/>
  <c r="G136" i="15" s="1"/>
  <c r="G137" i="15" s="1"/>
  <c r="G138" i="15" s="1"/>
  <c r="G139" i="15" s="1"/>
  <c r="G140" i="15" s="1"/>
  <c r="G141" i="15" s="1"/>
  <c r="G142" i="15" s="1"/>
  <c r="G143" i="15" s="1"/>
  <c r="G144" i="15" s="1"/>
  <c r="G145" i="15" s="1"/>
  <c r="G146" i="15" s="1"/>
  <c r="G147" i="15" s="1"/>
  <c r="G148" i="15" s="1"/>
  <c r="G149" i="15" s="1"/>
  <c r="G150" i="15" s="1"/>
  <c r="G151" i="15" s="1"/>
  <c r="G152" i="15" s="1"/>
  <c r="G153" i="15" s="1"/>
  <c r="G154" i="15" s="1"/>
  <c r="G155" i="15" s="1"/>
  <c r="G156" i="15" s="1"/>
  <c r="G157" i="15" s="1"/>
  <c r="G158" i="15" s="1"/>
  <c r="G159" i="15" s="1"/>
  <c r="G160" i="15" s="1"/>
  <c r="G161" i="15" s="1"/>
  <c r="G162" i="15" s="1"/>
  <c r="G163" i="15" s="1"/>
  <c r="G164" i="15" s="1"/>
  <c r="G165" i="15" s="1"/>
  <c r="G166" i="15" s="1"/>
  <c r="G167" i="15" s="1"/>
  <c r="G168" i="15" s="1"/>
  <c r="G169" i="15" s="1"/>
  <c r="G170" i="15" s="1"/>
  <c r="G171" i="15" s="1"/>
  <c r="G172" i="15" s="1"/>
  <c r="G173" i="15" s="1"/>
  <c r="G174" i="15" s="1"/>
  <c r="G175" i="15" s="1"/>
  <c r="G176" i="15" s="1"/>
  <c r="G177" i="15" s="1"/>
  <c r="G178" i="15" s="1"/>
  <c r="G179" i="15" s="1"/>
  <c r="G180" i="15" s="1"/>
  <c r="G181" i="15" s="1"/>
  <c r="G182" i="15" s="1"/>
  <c r="G183" i="15" s="1"/>
  <c r="G184" i="15" s="1"/>
  <c r="G185" i="15" s="1"/>
  <c r="G186" i="15" s="1"/>
  <c r="G187" i="15" s="1"/>
  <c r="G188" i="15" s="1"/>
  <c r="G189" i="15" s="1"/>
  <c r="G190" i="15" s="1"/>
  <c r="G191" i="15" s="1"/>
  <c r="G192" i="15" s="1"/>
  <c r="G193" i="15" s="1"/>
  <c r="G194" i="15" s="1"/>
  <c r="G195" i="15" s="1"/>
  <c r="G196" i="15" s="1"/>
  <c r="G197" i="15" s="1"/>
  <c r="G198" i="15" s="1"/>
  <c r="G199" i="15" s="1"/>
  <c r="G200" i="15" s="1"/>
  <c r="G201" i="15" s="1"/>
  <c r="G202" i="15" s="1"/>
  <c r="G203" i="15" s="1"/>
  <c r="G204" i="15" s="1"/>
  <c r="G205" i="15" s="1"/>
  <c r="G206" i="15" s="1"/>
  <c r="G207" i="15" s="1"/>
  <c r="G208" i="15" s="1"/>
  <c r="G209" i="15" s="1"/>
  <c r="G210" i="15" s="1"/>
  <c r="G211" i="15" s="1"/>
  <c r="G212" i="15" s="1"/>
  <c r="G213" i="15" s="1"/>
  <c r="G214" i="15" s="1"/>
  <c r="G215" i="15" s="1"/>
  <c r="G216" i="15" s="1"/>
  <c r="G217" i="15" s="1"/>
  <c r="G218" i="15" s="1"/>
  <c r="G219" i="15" s="1"/>
  <c r="G220" i="15" s="1"/>
  <c r="G221" i="15" s="1"/>
  <c r="G222" i="15" s="1"/>
  <c r="G223" i="15" s="1"/>
  <c r="G224" i="15" s="1"/>
  <c r="G225" i="15" s="1"/>
  <c r="G226" i="15" s="1"/>
  <c r="G227" i="15" s="1"/>
  <c r="G228" i="15" s="1"/>
  <c r="G229" i="15" s="1"/>
  <c r="G230" i="15" s="1"/>
  <c r="G231" i="15" s="1"/>
  <c r="G232" i="15" s="1"/>
  <c r="G233" i="15" s="1"/>
  <c r="G234" i="15" s="1"/>
  <c r="G235" i="15" s="1"/>
  <c r="G236" i="15" s="1"/>
  <c r="G237" i="15" s="1"/>
  <c r="G238" i="15" s="1"/>
  <c r="G239" i="15" s="1"/>
  <c r="G240" i="15" s="1"/>
  <c r="G241" i="15" s="1"/>
  <c r="G242" i="15" s="1"/>
  <c r="G243" i="15" s="1"/>
  <c r="G244" i="15" s="1"/>
  <c r="G245" i="15" s="1"/>
  <c r="G246" i="15" s="1"/>
  <c r="G247" i="15" s="1"/>
  <c r="G248" i="15" s="1"/>
  <c r="G249" i="15" s="1"/>
  <c r="G250" i="15" s="1"/>
  <c r="G251" i="15" s="1"/>
  <c r="G252" i="15" s="1"/>
  <c r="G253" i="15" s="1"/>
  <c r="G254" i="15" s="1"/>
  <c r="G255" i="15" s="1"/>
  <c r="G256" i="15" s="1"/>
  <c r="G257" i="15" s="1"/>
  <c r="G258" i="15" s="1"/>
  <c r="G259" i="15" s="1"/>
  <c r="G260" i="15" s="1"/>
  <c r="G261" i="15" s="1"/>
  <c r="G262" i="15" s="1"/>
  <c r="G263" i="15" s="1"/>
  <c r="G264" i="15" s="1"/>
  <c r="G265" i="15" s="1"/>
  <c r="G266" i="15" s="1"/>
  <c r="G267" i="15" s="1"/>
  <c r="G268" i="15" s="1"/>
  <c r="G269" i="15" s="1"/>
  <c r="G270" i="15" s="1"/>
  <c r="G271" i="15" s="1"/>
  <c r="G272" i="15" s="1"/>
  <c r="G273" i="15" s="1"/>
  <c r="G274" i="15" s="1"/>
  <c r="G275" i="15" s="1"/>
  <c r="G276" i="15" s="1"/>
  <c r="G277" i="15" s="1"/>
  <c r="G278" i="15" s="1"/>
  <c r="G279" i="15" s="1"/>
  <c r="G280" i="15" s="1"/>
  <c r="G281" i="15" s="1"/>
  <c r="G282" i="15" s="1"/>
  <c r="G283" i="15" s="1"/>
  <c r="G284" i="15" s="1"/>
  <c r="G285" i="15" s="1"/>
  <c r="G286" i="15" s="1"/>
  <c r="G287" i="15" s="1"/>
  <c r="G288" i="15" s="1"/>
  <c r="G289" i="15" s="1"/>
  <c r="G290" i="15" s="1"/>
  <c r="G291" i="15" s="1"/>
  <c r="G292" i="15" s="1"/>
  <c r="G293" i="15" s="1"/>
  <c r="G294" i="15" s="1"/>
  <c r="G295" i="15" s="1"/>
  <c r="G296" i="15" s="1"/>
  <c r="G297" i="15" s="1"/>
  <c r="G298" i="15" s="1"/>
  <c r="G299" i="15" s="1"/>
  <c r="G300" i="15" s="1"/>
  <c r="G301" i="15" s="1"/>
  <c r="G302" i="15" s="1"/>
  <c r="G303" i="15" s="1"/>
  <c r="G304" i="15" s="1"/>
  <c r="G305" i="15" s="1"/>
  <c r="G306" i="15" s="1"/>
  <c r="G307" i="15" s="1"/>
  <c r="G308" i="15" s="1"/>
  <c r="G309" i="15" s="1"/>
  <c r="G310" i="15" s="1"/>
  <c r="G311" i="15" s="1"/>
  <c r="G312" i="15" s="1"/>
  <c r="G313" i="15" s="1"/>
  <c r="G314" i="15" s="1"/>
  <c r="G315" i="15" s="1"/>
  <c r="G316" i="15" s="1"/>
  <c r="G317" i="15" s="1"/>
  <c r="G318" i="15" s="1"/>
  <c r="G319" i="15" s="1"/>
  <c r="G320" i="15" s="1"/>
  <c r="G321" i="15" s="1"/>
  <c r="G322" i="15" s="1"/>
  <c r="G323" i="15" s="1"/>
  <c r="G324" i="15" s="1"/>
  <c r="G325" i="15" s="1"/>
  <c r="G326" i="15" s="1"/>
  <c r="G327" i="15" s="1"/>
  <c r="G328" i="15" s="1"/>
  <c r="G329" i="15" s="1"/>
  <c r="G330" i="15" s="1"/>
  <c r="G331" i="15" s="1"/>
  <c r="G332" i="15" s="1"/>
  <c r="G333" i="15" s="1"/>
  <c r="G334" i="15" s="1"/>
  <c r="G335" i="15" s="1"/>
  <c r="G336" i="15" s="1"/>
  <c r="G337" i="15" s="1"/>
  <c r="G338" i="15" s="1"/>
  <c r="G339" i="15" s="1"/>
  <c r="G340" i="15" s="1"/>
  <c r="G341" i="15" s="1"/>
  <c r="G342" i="15" s="1"/>
  <c r="G343" i="15" s="1"/>
  <c r="G344" i="15" s="1"/>
  <c r="G345" i="15" s="1"/>
  <c r="G346" i="15" s="1"/>
  <c r="G347" i="15" s="1"/>
  <c r="G348" i="15" s="1"/>
  <c r="G349" i="15" s="1"/>
  <c r="G350" i="15" s="1"/>
  <c r="G351" i="15" s="1"/>
  <c r="G352" i="15" s="1"/>
  <c r="G353" i="15" s="1"/>
  <c r="G354" i="15" s="1"/>
  <c r="G355" i="15" s="1"/>
  <c r="G356" i="15" s="1"/>
  <c r="G357" i="15" s="1"/>
  <c r="G358" i="15" s="1"/>
  <c r="G359" i="15" s="1"/>
  <c r="G360" i="15" s="1"/>
  <c r="G361" i="15" s="1"/>
  <c r="G362" i="15" s="1"/>
  <c r="G363" i="15" s="1"/>
  <c r="G364" i="15" s="1"/>
  <c r="G365" i="15" s="1"/>
  <c r="G366" i="15" s="1"/>
  <c r="G367" i="15" s="1"/>
  <c r="G368" i="15" s="1"/>
  <c r="G369" i="15" s="1"/>
  <c r="G370" i="15" s="1"/>
  <c r="G371" i="15" s="1"/>
  <c r="G372" i="15" s="1"/>
  <c r="G373" i="15" s="1"/>
  <c r="G374" i="15" s="1"/>
  <c r="G375" i="15" s="1"/>
  <c r="G376" i="15" s="1"/>
  <c r="G377" i="15" s="1"/>
  <c r="G378" i="15" s="1"/>
  <c r="G379" i="15" s="1"/>
  <c r="G380" i="15" s="1"/>
  <c r="G381" i="15" s="1"/>
  <c r="G382" i="15" s="1"/>
  <c r="G383" i="15" s="1"/>
  <c r="G384" i="15" s="1"/>
  <c r="G385" i="15" s="1"/>
  <c r="G386" i="15" s="1"/>
  <c r="G387" i="15" s="1"/>
  <c r="G388" i="15" s="1"/>
  <c r="G389" i="15" s="1"/>
  <c r="G390" i="15" s="1"/>
  <c r="G391" i="15" s="1"/>
  <c r="G392" i="15" s="1"/>
  <c r="G393" i="15" s="1"/>
  <c r="G394" i="15" s="1"/>
  <c r="G395" i="15" s="1"/>
  <c r="G396" i="15" s="1"/>
  <c r="G397" i="15" s="1"/>
  <c r="G398" i="15" s="1"/>
  <c r="G399" i="15" s="1"/>
  <c r="G400" i="15" s="1"/>
  <c r="G401" i="15" s="1"/>
  <c r="G402" i="15" s="1"/>
  <c r="G403" i="15" s="1"/>
  <c r="G404" i="15" s="1"/>
  <c r="G405" i="15" s="1"/>
  <c r="G406" i="15" s="1"/>
  <c r="G407" i="15" s="1"/>
  <c r="G408" i="15" s="1"/>
  <c r="G409" i="15" s="1"/>
  <c r="G410" i="15" s="1"/>
  <c r="G411" i="15" s="1"/>
  <c r="G412" i="15" s="1"/>
  <c r="G413" i="15" s="1"/>
  <c r="G414" i="15" s="1"/>
  <c r="G415" i="15" s="1"/>
  <c r="G416" i="15" s="1"/>
  <c r="G417" i="15" s="1"/>
  <c r="G418" i="15" s="1"/>
  <c r="G419" i="15" s="1"/>
  <c r="G420" i="15" s="1"/>
  <c r="G421" i="15" s="1"/>
  <c r="G422" i="15" s="1"/>
  <c r="G423" i="15" s="1"/>
  <c r="G424" i="15" s="1"/>
  <c r="G425" i="15" s="1"/>
  <c r="G426" i="15" s="1"/>
  <c r="G427" i="15" s="1"/>
  <c r="G428" i="15" s="1"/>
  <c r="G429" i="15" s="1"/>
  <c r="G430" i="15" s="1"/>
  <c r="G431" i="15" s="1"/>
  <c r="G432" i="15" s="1"/>
  <c r="G433" i="15" s="1"/>
  <c r="G434" i="15" s="1"/>
  <c r="G435" i="15" s="1"/>
  <c r="G436" i="15" s="1"/>
  <c r="G437" i="15" s="1"/>
  <c r="G438" i="15" s="1"/>
  <c r="G439" i="15" s="1"/>
  <c r="G440" i="15" s="1"/>
  <c r="G441" i="15" s="1"/>
  <c r="G442" i="15" s="1"/>
  <c r="G443" i="15" s="1"/>
  <c r="G444" i="15" s="1"/>
  <c r="G445" i="15" s="1"/>
  <c r="G446" i="15" s="1"/>
  <c r="G447" i="15" s="1"/>
  <c r="G448" i="15" s="1"/>
  <c r="G449" i="15" s="1"/>
  <c r="G450" i="15" s="1"/>
  <c r="G451" i="15" s="1"/>
  <c r="G452" i="15" s="1"/>
  <c r="G453" i="15" s="1"/>
  <c r="G454" i="15" s="1"/>
  <c r="G455" i="15" s="1"/>
  <c r="G456" i="15" s="1"/>
  <c r="G457" i="15" s="1"/>
  <c r="G458" i="15" s="1"/>
  <c r="G459" i="15" s="1"/>
  <c r="G460" i="15" s="1"/>
  <c r="G461" i="15" s="1"/>
  <c r="G462" i="15" s="1"/>
  <c r="G463" i="15" s="1"/>
  <c r="G464" i="15" s="1"/>
  <c r="G465" i="15" s="1"/>
  <c r="G466" i="15" s="1"/>
  <c r="G467" i="15" s="1"/>
  <c r="G468" i="15" s="1"/>
  <c r="G469" i="15" s="1"/>
  <c r="G470" i="15" s="1"/>
  <c r="G471" i="15" s="1"/>
  <c r="G472" i="15" s="1"/>
  <c r="G473" i="15" s="1"/>
  <c r="G474" i="15" s="1"/>
  <c r="G475" i="15" s="1"/>
  <c r="G476" i="15" s="1"/>
  <c r="G477" i="15" s="1"/>
  <c r="G478" i="15" s="1"/>
  <c r="G479" i="15" s="1"/>
  <c r="G480" i="15" s="1"/>
  <c r="G481" i="15" s="1"/>
  <c r="G482" i="15" s="1"/>
  <c r="G483" i="15" s="1"/>
  <c r="G484" i="15" s="1"/>
  <c r="G485" i="15" s="1"/>
  <c r="G486" i="15" s="1"/>
  <c r="G487" i="15" s="1"/>
  <c r="G488" i="15" s="1"/>
  <c r="G489" i="15" s="1"/>
  <c r="G490" i="15" s="1"/>
  <c r="G491" i="15" s="1"/>
  <c r="G492" i="15" s="1"/>
  <c r="G493" i="15" s="1"/>
  <c r="G494" i="15" s="1"/>
  <c r="G495" i="15" s="1"/>
  <c r="G496" i="15" s="1"/>
  <c r="G497" i="15" s="1"/>
  <c r="G498" i="15" s="1"/>
  <c r="G499" i="15" s="1"/>
  <c r="G500" i="15" s="1"/>
  <c r="G501" i="15" s="1"/>
  <c r="G502" i="15" s="1"/>
  <c r="G503" i="15" s="1"/>
  <c r="K3" i="14"/>
  <c r="K4" i="14"/>
  <c r="K5" i="14"/>
  <c r="K6" i="14"/>
  <c r="K7" i="14"/>
  <c r="K8" i="14"/>
  <c r="K9" i="14"/>
  <c r="K10" i="14"/>
  <c r="K11" i="14"/>
  <c r="K12" i="14"/>
  <c r="K13" i="14"/>
  <c r="K14" i="14"/>
  <c r="K15" i="14"/>
  <c r="K16" i="14"/>
  <c r="K17" i="14"/>
  <c r="K18" i="14"/>
  <c r="K19" i="14"/>
  <c r="K20" i="14"/>
  <c r="K21" i="14"/>
  <c r="K22" i="14"/>
  <c r="K23" i="14"/>
  <c r="K24" i="14"/>
  <c r="K25" i="14"/>
  <c r="K26" i="14"/>
  <c r="K27" i="14"/>
  <c r="K28" i="14"/>
  <c r="K29" i="14"/>
  <c r="K30" i="14"/>
  <c r="K31" i="14"/>
  <c r="K32" i="14"/>
  <c r="K33" i="14"/>
  <c r="K34" i="14"/>
  <c r="K35" i="14"/>
  <c r="K36" i="14"/>
  <c r="K37" i="14"/>
  <c r="K38" i="14"/>
  <c r="K39" i="14"/>
  <c r="K40" i="14"/>
  <c r="K41" i="14"/>
  <c r="K42" i="14"/>
  <c r="K43" i="14"/>
  <c r="K44" i="14"/>
  <c r="K45" i="14"/>
  <c r="K46" i="14"/>
  <c r="K47" i="14"/>
  <c r="K48" i="14"/>
  <c r="K49" i="14"/>
  <c r="K50" i="14"/>
  <c r="K51" i="14"/>
  <c r="K52" i="14"/>
  <c r="K53" i="14"/>
  <c r="K54" i="14"/>
  <c r="K55" i="14"/>
  <c r="K56" i="14"/>
  <c r="K57" i="14"/>
  <c r="K58" i="14"/>
  <c r="K59" i="14"/>
  <c r="K60" i="14"/>
  <c r="K61" i="14"/>
  <c r="K62" i="14"/>
  <c r="K63" i="14"/>
  <c r="K64" i="14"/>
  <c r="K65" i="14"/>
  <c r="K66" i="14"/>
  <c r="K67" i="14"/>
  <c r="K68" i="14"/>
  <c r="K69" i="14"/>
  <c r="K70" i="14"/>
  <c r="K71" i="14"/>
  <c r="K72" i="14"/>
  <c r="K73" i="14"/>
  <c r="K74" i="14"/>
  <c r="K75" i="14"/>
  <c r="K76" i="14"/>
  <c r="K77" i="14"/>
  <c r="K78" i="14"/>
  <c r="K79" i="14"/>
  <c r="K80" i="14"/>
  <c r="K81" i="14"/>
  <c r="K82" i="14"/>
  <c r="K83" i="14"/>
  <c r="K84" i="14"/>
  <c r="K85" i="14"/>
  <c r="K86" i="14"/>
  <c r="K87" i="14"/>
  <c r="K88" i="14"/>
  <c r="K89" i="14"/>
  <c r="K90" i="14"/>
  <c r="K91" i="14"/>
  <c r="K92" i="14"/>
  <c r="K93" i="14"/>
  <c r="K94" i="14"/>
  <c r="K95" i="14"/>
  <c r="K96" i="14"/>
  <c r="K97" i="14"/>
  <c r="K98" i="14"/>
  <c r="K99" i="14"/>
  <c r="K100" i="14"/>
  <c r="K101" i="14"/>
  <c r="K102" i="14"/>
  <c r="K103" i="14"/>
  <c r="K104" i="14"/>
  <c r="K105" i="14"/>
  <c r="K106" i="14"/>
  <c r="K107" i="14"/>
  <c r="K108" i="14"/>
  <c r="K109" i="14"/>
  <c r="K110" i="14"/>
  <c r="K111" i="14"/>
  <c r="K112" i="14"/>
  <c r="K113" i="14"/>
  <c r="K114" i="14"/>
  <c r="K115" i="14"/>
  <c r="K116" i="14"/>
  <c r="K117" i="14"/>
  <c r="K118" i="14"/>
  <c r="K119" i="14"/>
  <c r="K120" i="14"/>
  <c r="K121" i="14"/>
  <c r="K122" i="14"/>
  <c r="K123" i="14"/>
  <c r="K124" i="14"/>
  <c r="K125" i="14"/>
  <c r="K126" i="14"/>
  <c r="K127" i="14"/>
  <c r="K128" i="14"/>
  <c r="K129" i="14"/>
  <c r="K130" i="14"/>
  <c r="K131" i="14"/>
  <c r="K132" i="14"/>
  <c r="K133" i="14"/>
  <c r="K134" i="14"/>
  <c r="K135" i="14"/>
  <c r="K136" i="14"/>
  <c r="K137" i="14"/>
  <c r="K138" i="14"/>
  <c r="K139" i="14"/>
  <c r="K140" i="14"/>
  <c r="K141" i="14"/>
  <c r="K142" i="14"/>
  <c r="K143" i="14"/>
  <c r="K144" i="14"/>
  <c r="K145" i="14"/>
  <c r="K146" i="14"/>
  <c r="K147" i="14"/>
  <c r="K148" i="14"/>
  <c r="K149" i="14"/>
  <c r="K150" i="14"/>
  <c r="K151" i="14"/>
  <c r="K152" i="14"/>
  <c r="K153" i="14"/>
  <c r="K154" i="14"/>
  <c r="K155" i="14"/>
  <c r="K156" i="14"/>
  <c r="K157" i="14"/>
  <c r="K158" i="14"/>
  <c r="K159" i="14"/>
  <c r="K160" i="14"/>
  <c r="K161" i="14"/>
  <c r="K162" i="14"/>
  <c r="K163" i="14"/>
  <c r="K164" i="14"/>
  <c r="K165" i="14"/>
  <c r="K166" i="14"/>
  <c r="K167" i="14"/>
  <c r="K168" i="14"/>
  <c r="K169" i="14"/>
  <c r="K170" i="14"/>
  <c r="K171" i="14"/>
  <c r="K172" i="14"/>
  <c r="K173" i="14"/>
  <c r="K174" i="14"/>
  <c r="K175" i="14"/>
  <c r="K176" i="14"/>
  <c r="K177" i="14"/>
  <c r="K178" i="14"/>
  <c r="K179" i="14"/>
  <c r="K180" i="14"/>
  <c r="K181" i="14"/>
  <c r="K182" i="14"/>
  <c r="K183" i="14"/>
  <c r="K184" i="14"/>
  <c r="K2" i="14"/>
  <c r="J183" i="14"/>
  <c r="J182" i="14"/>
  <c r="J179" i="14"/>
  <c r="J171" i="14"/>
  <c r="J167" i="14"/>
  <c r="J166" i="14"/>
  <c r="J162" i="14"/>
  <c r="J159" i="14"/>
  <c r="J157" i="14"/>
  <c r="J154" i="14"/>
  <c r="J153" i="14"/>
  <c r="J151" i="14"/>
  <c r="J150" i="14"/>
  <c r="J141" i="14"/>
  <c r="J139" i="14"/>
  <c r="J137" i="14"/>
  <c r="J134" i="14"/>
  <c r="J131" i="14"/>
  <c r="J127" i="14"/>
  <c r="J123" i="14"/>
  <c r="J121" i="14"/>
  <c r="J120" i="14"/>
  <c r="J114" i="14"/>
  <c r="J109" i="14"/>
  <c r="J102" i="14"/>
  <c r="J98" i="14"/>
  <c r="J92" i="14"/>
  <c r="J87" i="14"/>
  <c r="J82" i="14"/>
  <c r="J78" i="14"/>
  <c r="J68" i="14"/>
  <c r="J65" i="14"/>
  <c r="J63" i="14"/>
  <c r="J62" i="14"/>
  <c r="J61" i="14"/>
  <c r="J59" i="14"/>
  <c r="J49" i="14"/>
  <c r="J40" i="14"/>
  <c r="J31" i="14"/>
  <c r="J29" i="14"/>
  <c r="J23" i="14"/>
  <c r="J18" i="14"/>
  <c r="J16" i="14"/>
  <c r="J13" i="14"/>
  <c r="J12" i="14"/>
  <c r="J8" i="14"/>
  <c r="J7" i="14"/>
  <c r="J4" i="14"/>
  <c r="J3" i="14"/>
  <c r="K3" i="15"/>
  <c r="K4" i="15"/>
  <c r="K5" i="15"/>
  <c r="K6" i="15"/>
  <c r="K7" i="15"/>
  <c r="K8" i="15"/>
  <c r="K9" i="15"/>
  <c r="K10" i="15"/>
  <c r="K11" i="15"/>
  <c r="K12" i="15"/>
  <c r="K13" i="15"/>
  <c r="K14" i="15"/>
  <c r="K15" i="15"/>
  <c r="K16" i="15"/>
  <c r="K17" i="15"/>
  <c r="K18" i="15"/>
  <c r="K19" i="15"/>
  <c r="K20" i="15"/>
  <c r="K21" i="15"/>
  <c r="K22" i="15"/>
  <c r="K23" i="15"/>
  <c r="K24" i="15"/>
  <c r="K25" i="15"/>
  <c r="K26" i="15"/>
  <c r="K27" i="15"/>
  <c r="K28" i="15"/>
  <c r="K29" i="15"/>
  <c r="K30" i="15"/>
  <c r="K31" i="15"/>
  <c r="K32" i="15"/>
  <c r="K33" i="15"/>
  <c r="K34" i="15"/>
  <c r="K35" i="15"/>
  <c r="K36" i="15"/>
  <c r="K37" i="15"/>
  <c r="K38" i="15"/>
  <c r="K39" i="15"/>
  <c r="K40" i="15"/>
  <c r="K41" i="15"/>
  <c r="K42" i="15"/>
  <c r="K43" i="15"/>
  <c r="K44" i="15"/>
  <c r="K45" i="15"/>
  <c r="K46" i="15"/>
  <c r="K47" i="15"/>
  <c r="K48" i="15"/>
  <c r="K49" i="15"/>
  <c r="K50" i="15"/>
  <c r="K51" i="15"/>
  <c r="K52" i="15"/>
  <c r="K53" i="15"/>
  <c r="K54" i="15"/>
  <c r="K55" i="15"/>
  <c r="K56" i="15"/>
  <c r="K57" i="15"/>
  <c r="K58" i="15"/>
  <c r="K59" i="15"/>
  <c r="K60" i="15"/>
  <c r="K61" i="15"/>
  <c r="K62" i="15"/>
  <c r="K63" i="15"/>
  <c r="K64" i="15"/>
  <c r="K65" i="15"/>
  <c r="K66" i="15"/>
  <c r="K67" i="15"/>
  <c r="K68" i="15"/>
  <c r="K69" i="15"/>
  <c r="K70" i="15"/>
  <c r="K71" i="15"/>
  <c r="K72" i="15"/>
  <c r="K73" i="15"/>
  <c r="K74" i="15"/>
  <c r="K75" i="15"/>
  <c r="K76" i="15"/>
  <c r="K77" i="15"/>
  <c r="K78" i="15"/>
  <c r="K79" i="15"/>
  <c r="K80" i="15"/>
  <c r="K81" i="15"/>
  <c r="K82" i="15"/>
  <c r="K83" i="15"/>
  <c r="K84" i="15"/>
  <c r="K85" i="15"/>
  <c r="K86" i="15"/>
  <c r="K87" i="15"/>
  <c r="K88" i="15"/>
  <c r="K89" i="15"/>
  <c r="K90" i="15"/>
  <c r="K91" i="15"/>
  <c r="K92" i="15"/>
  <c r="K93" i="15"/>
  <c r="K94" i="15"/>
  <c r="K95" i="15"/>
  <c r="K96" i="15"/>
  <c r="K97" i="15"/>
  <c r="K98" i="15"/>
  <c r="K99" i="15"/>
  <c r="K100" i="15"/>
  <c r="K101" i="15"/>
  <c r="K102" i="15"/>
  <c r="K103" i="15"/>
  <c r="K104" i="15"/>
  <c r="K105" i="15"/>
  <c r="K106" i="15"/>
  <c r="K107" i="15"/>
  <c r="K108" i="15"/>
  <c r="K109" i="15"/>
  <c r="K110" i="15"/>
  <c r="K111" i="15"/>
  <c r="K112" i="15"/>
  <c r="K113" i="15"/>
  <c r="K114" i="15"/>
  <c r="K115" i="15"/>
  <c r="K116" i="15"/>
  <c r="K117" i="15"/>
  <c r="K118" i="15"/>
  <c r="K119" i="15"/>
  <c r="K120" i="15"/>
  <c r="K121" i="15"/>
  <c r="K122" i="15"/>
  <c r="K123" i="15"/>
  <c r="K124" i="15"/>
  <c r="K125" i="15"/>
  <c r="K126" i="15"/>
  <c r="K127" i="15"/>
  <c r="K128" i="15"/>
  <c r="K129" i="15"/>
  <c r="K130" i="15"/>
  <c r="K131" i="15"/>
  <c r="K132" i="15"/>
  <c r="K133" i="15"/>
  <c r="K134" i="15"/>
  <c r="K135" i="15"/>
  <c r="K136" i="15"/>
  <c r="K137" i="15"/>
  <c r="K138" i="15"/>
  <c r="K139" i="15"/>
  <c r="K140" i="15"/>
  <c r="K141" i="15"/>
  <c r="K142" i="15"/>
  <c r="K143" i="15"/>
  <c r="K144" i="15"/>
  <c r="K145" i="15"/>
  <c r="K146" i="15"/>
  <c r="K147" i="15"/>
  <c r="K148" i="15"/>
  <c r="K149" i="15"/>
  <c r="K150" i="15"/>
  <c r="K151" i="15"/>
  <c r="K152" i="15"/>
  <c r="K153" i="15"/>
  <c r="K154" i="15"/>
  <c r="K155" i="15"/>
  <c r="K156" i="15"/>
  <c r="K157" i="15"/>
  <c r="K158" i="15"/>
  <c r="K159" i="15"/>
  <c r="K160" i="15"/>
  <c r="K161" i="15"/>
  <c r="K162" i="15"/>
  <c r="K163" i="15"/>
  <c r="K164" i="15"/>
  <c r="K165" i="15"/>
  <c r="K166" i="15"/>
  <c r="K167" i="15"/>
  <c r="K168" i="15"/>
  <c r="K169" i="15"/>
  <c r="K170" i="15"/>
  <c r="K171" i="15"/>
  <c r="K172" i="15"/>
  <c r="K173" i="15"/>
  <c r="K174" i="15"/>
  <c r="K175" i="15"/>
  <c r="K176" i="15"/>
  <c r="K177" i="15"/>
  <c r="K178" i="15"/>
  <c r="K179" i="15"/>
  <c r="K180" i="15"/>
  <c r="K181" i="15"/>
  <c r="K182" i="15"/>
  <c r="K183" i="15"/>
  <c r="K184" i="15"/>
  <c r="K185" i="15"/>
  <c r="K186" i="15"/>
  <c r="K187" i="15"/>
  <c r="K188" i="15"/>
  <c r="K189" i="15"/>
  <c r="K190" i="15"/>
  <c r="K191" i="15"/>
  <c r="K192" i="15"/>
  <c r="K193" i="15"/>
  <c r="K194" i="15"/>
  <c r="K195" i="15"/>
  <c r="K196" i="15"/>
  <c r="K197" i="15"/>
  <c r="K198" i="15"/>
  <c r="K199" i="15"/>
  <c r="K200" i="15"/>
  <c r="K201" i="15"/>
  <c r="K202" i="15"/>
  <c r="K203" i="15"/>
  <c r="K204" i="15"/>
  <c r="K205" i="15"/>
  <c r="K206" i="15"/>
  <c r="K207" i="15"/>
  <c r="K208" i="15"/>
  <c r="K209" i="15"/>
  <c r="K210" i="15"/>
  <c r="K211" i="15"/>
  <c r="K212" i="15"/>
  <c r="K213" i="15"/>
  <c r="K214" i="15"/>
  <c r="K215" i="15"/>
  <c r="K216" i="15"/>
  <c r="K217" i="15"/>
  <c r="K218" i="15"/>
  <c r="K219" i="15"/>
  <c r="K220" i="15"/>
  <c r="K221" i="15"/>
  <c r="K222" i="15"/>
  <c r="K223" i="15"/>
  <c r="K224" i="15"/>
  <c r="K225" i="15"/>
  <c r="K226" i="15"/>
  <c r="K227" i="15"/>
  <c r="K228" i="15"/>
  <c r="K229" i="15"/>
  <c r="K230" i="15"/>
  <c r="K231" i="15"/>
  <c r="K232" i="15"/>
  <c r="K233" i="15"/>
  <c r="K234" i="15"/>
  <c r="K235" i="15"/>
  <c r="K236" i="15"/>
  <c r="K237" i="15"/>
  <c r="K238" i="15"/>
  <c r="K239" i="15"/>
  <c r="K240" i="15"/>
  <c r="K241" i="15"/>
  <c r="K242" i="15"/>
  <c r="K243" i="15"/>
  <c r="K244" i="15"/>
  <c r="K245" i="15"/>
  <c r="K246" i="15"/>
  <c r="K247" i="15"/>
  <c r="K248" i="15"/>
  <c r="K249" i="15"/>
  <c r="K250" i="15"/>
  <c r="K251" i="15"/>
  <c r="K252" i="15"/>
  <c r="K253" i="15"/>
  <c r="K254" i="15"/>
  <c r="K255" i="15"/>
  <c r="K256" i="15"/>
  <c r="K257" i="15"/>
  <c r="K258" i="15"/>
  <c r="K259" i="15"/>
  <c r="K260" i="15"/>
  <c r="K261" i="15"/>
  <c r="K262" i="15"/>
  <c r="K263" i="15"/>
  <c r="K264" i="15"/>
  <c r="K265" i="15"/>
  <c r="K266" i="15"/>
  <c r="K267" i="15"/>
  <c r="K268" i="15"/>
  <c r="K269" i="15"/>
  <c r="K270" i="15"/>
  <c r="K271" i="15"/>
  <c r="K272" i="15"/>
  <c r="K273" i="15"/>
  <c r="K274" i="15"/>
  <c r="K275" i="15"/>
  <c r="K276" i="15"/>
  <c r="K277" i="15"/>
  <c r="K278" i="15"/>
  <c r="K279" i="15"/>
  <c r="K280" i="15"/>
  <c r="K281" i="15"/>
  <c r="K282" i="15"/>
  <c r="K283" i="15"/>
  <c r="K284" i="15"/>
  <c r="K285" i="15"/>
  <c r="K286" i="15"/>
  <c r="K287" i="15"/>
  <c r="K288" i="15"/>
  <c r="K289" i="15"/>
  <c r="K290" i="15"/>
  <c r="K291" i="15"/>
  <c r="K292" i="15"/>
  <c r="K293" i="15"/>
  <c r="K294" i="15"/>
  <c r="K295" i="15"/>
  <c r="K296" i="15"/>
  <c r="K297" i="15"/>
  <c r="K298" i="15"/>
  <c r="K299" i="15"/>
  <c r="K300" i="15"/>
  <c r="K301" i="15"/>
  <c r="K302" i="15"/>
  <c r="K303" i="15"/>
  <c r="K304" i="15"/>
  <c r="K305" i="15"/>
  <c r="K306" i="15"/>
  <c r="K307" i="15"/>
  <c r="K308" i="15"/>
  <c r="K309" i="15"/>
  <c r="K310" i="15"/>
  <c r="K311" i="15"/>
  <c r="K312" i="15"/>
  <c r="K313" i="15"/>
  <c r="K314" i="15"/>
  <c r="K315" i="15"/>
  <c r="K316" i="15"/>
  <c r="K317" i="15"/>
  <c r="K318" i="15"/>
  <c r="K319" i="15"/>
  <c r="K320" i="15"/>
  <c r="K321" i="15"/>
  <c r="K322" i="15"/>
  <c r="K323" i="15"/>
  <c r="K324" i="15"/>
  <c r="K325" i="15"/>
  <c r="K326" i="15"/>
  <c r="K327" i="15"/>
  <c r="K328" i="15"/>
  <c r="K329" i="15"/>
  <c r="K330" i="15"/>
  <c r="K331" i="15"/>
  <c r="K332" i="15"/>
  <c r="K333" i="15"/>
  <c r="K334" i="15"/>
  <c r="K335" i="15"/>
  <c r="K336" i="15"/>
  <c r="K337" i="15"/>
  <c r="K338" i="15"/>
  <c r="K339" i="15"/>
  <c r="K340" i="15"/>
  <c r="K341" i="15"/>
  <c r="K342" i="15"/>
  <c r="K343" i="15"/>
  <c r="K344" i="15"/>
  <c r="K345" i="15"/>
  <c r="K346" i="15"/>
  <c r="K347" i="15"/>
  <c r="K348" i="15"/>
  <c r="K349" i="15"/>
  <c r="K350" i="15"/>
  <c r="K351" i="15"/>
  <c r="K352" i="15"/>
  <c r="K353" i="15"/>
  <c r="K354" i="15"/>
  <c r="K355" i="15"/>
  <c r="K356" i="15"/>
  <c r="K357" i="15"/>
  <c r="K358" i="15"/>
  <c r="K359" i="15"/>
  <c r="K360" i="15"/>
  <c r="K361" i="15"/>
  <c r="K362" i="15"/>
  <c r="K363" i="15"/>
  <c r="K364" i="15"/>
  <c r="K365" i="15"/>
  <c r="K366" i="15"/>
  <c r="K367" i="15"/>
  <c r="K368" i="15"/>
  <c r="K369" i="15"/>
  <c r="K370" i="15"/>
  <c r="K371" i="15"/>
  <c r="K372" i="15"/>
  <c r="K373" i="15"/>
  <c r="K374" i="15"/>
  <c r="K375" i="15"/>
  <c r="K376" i="15"/>
  <c r="K377" i="15"/>
  <c r="K378" i="15"/>
  <c r="K379" i="15"/>
  <c r="K380" i="15"/>
  <c r="K381" i="15"/>
  <c r="K382" i="15"/>
  <c r="K383" i="15"/>
  <c r="K384" i="15"/>
  <c r="K385" i="15"/>
  <c r="K386" i="15"/>
  <c r="K387" i="15"/>
  <c r="K388" i="15"/>
  <c r="K389" i="15"/>
  <c r="K390" i="15"/>
  <c r="K391" i="15"/>
  <c r="K392" i="15"/>
  <c r="K393" i="15"/>
  <c r="K394" i="15"/>
  <c r="K395" i="15"/>
  <c r="K396" i="15"/>
  <c r="K397" i="15"/>
  <c r="K398" i="15"/>
  <c r="K399" i="15"/>
  <c r="K400" i="15"/>
  <c r="K401" i="15"/>
  <c r="K402" i="15"/>
  <c r="K403" i="15"/>
  <c r="K404" i="15"/>
  <c r="K405" i="15"/>
  <c r="K406" i="15"/>
  <c r="K407" i="15"/>
  <c r="K408" i="15"/>
  <c r="K409" i="15"/>
  <c r="K410" i="15"/>
  <c r="K411" i="15"/>
  <c r="K412" i="15"/>
  <c r="K413" i="15"/>
  <c r="K414" i="15"/>
  <c r="K415" i="15"/>
  <c r="K416" i="15"/>
  <c r="K417" i="15"/>
  <c r="K418" i="15"/>
  <c r="K419" i="15"/>
  <c r="K420" i="15"/>
  <c r="K421" i="15"/>
  <c r="K422" i="15"/>
  <c r="K423" i="15"/>
  <c r="K424" i="15"/>
  <c r="K425" i="15"/>
  <c r="K426" i="15"/>
  <c r="K427" i="15"/>
  <c r="K428" i="15"/>
  <c r="K429" i="15"/>
  <c r="K430" i="15"/>
  <c r="K431" i="15"/>
  <c r="K432" i="15"/>
  <c r="K433" i="15"/>
  <c r="K434" i="15"/>
  <c r="K435" i="15"/>
  <c r="K436" i="15"/>
  <c r="K437" i="15"/>
  <c r="K438" i="15"/>
  <c r="K439" i="15"/>
  <c r="K440" i="15"/>
  <c r="K441" i="15"/>
  <c r="K442" i="15"/>
  <c r="K443" i="15"/>
  <c r="K444" i="15"/>
  <c r="K445" i="15"/>
  <c r="K446" i="15"/>
  <c r="K447" i="15"/>
  <c r="K448" i="15"/>
  <c r="K449" i="15"/>
  <c r="K450" i="15"/>
  <c r="K451" i="15"/>
  <c r="K452" i="15"/>
  <c r="K453" i="15"/>
  <c r="K454" i="15"/>
  <c r="K455" i="15"/>
  <c r="K456" i="15"/>
  <c r="K457" i="15"/>
  <c r="K458" i="15"/>
  <c r="K459" i="15"/>
  <c r="K460" i="15"/>
  <c r="K461" i="15"/>
  <c r="K462" i="15"/>
  <c r="K463" i="15"/>
  <c r="K464" i="15"/>
  <c r="K465" i="15"/>
  <c r="K466" i="15"/>
  <c r="K467" i="15"/>
  <c r="K468" i="15"/>
  <c r="K469" i="15"/>
  <c r="K470" i="15"/>
  <c r="K471" i="15"/>
  <c r="K472" i="15"/>
  <c r="K473" i="15"/>
  <c r="K474" i="15"/>
  <c r="K475" i="15"/>
  <c r="K476" i="15"/>
  <c r="K477" i="15"/>
  <c r="K478" i="15"/>
  <c r="K479" i="15"/>
  <c r="K480" i="15"/>
  <c r="K481" i="15"/>
  <c r="K482" i="15"/>
  <c r="K483" i="15"/>
  <c r="K484" i="15"/>
  <c r="K485" i="15"/>
  <c r="K486" i="15"/>
  <c r="K487" i="15"/>
  <c r="K488" i="15"/>
  <c r="K489" i="15"/>
  <c r="K490" i="15"/>
  <c r="K491" i="15"/>
  <c r="K492" i="15"/>
  <c r="K493" i="15"/>
  <c r="K494" i="15"/>
  <c r="K495" i="15"/>
  <c r="K496" i="15"/>
  <c r="K497" i="15"/>
  <c r="K498" i="15"/>
  <c r="K499" i="15"/>
  <c r="K500" i="15"/>
  <c r="K501" i="15"/>
  <c r="K502" i="15"/>
  <c r="K503" i="15"/>
  <c r="K2" i="15"/>
  <c r="G2" i="15"/>
  <c r="G3" i="15" s="1"/>
  <c r="J502" i="15"/>
  <c r="J490" i="15"/>
  <c r="J487" i="15"/>
  <c r="J484" i="15"/>
  <c r="J482" i="15"/>
  <c r="J481" i="15"/>
  <c r="J473" i="15"/>
  <c r="J472" i="15"/>
  <c r="J471" i="15"/>
  <c r="J470" i="15"/>
  <c r="J469" i="15"/>
  <c r="J459" i="15"/>
  <c r="J449" i="15"/>
  <c r="J445" i="15"/>
  <c r="J438" i="15"/>
  <c r="J425" i="15"/>
  <c r="J412" i="15"/>
  <c r="J405" i="15"/>
  <c r="J384" i="15"/>
  <c r="J382" i="15"/>
  <c r="J379" i="15"/>
  <c r="J369" i="15"/>
  <c r="J364" i="15"/>
  <c r="J357" i="15"/>
  <c r="J340" i="15"/>
  <c r="J337" i="15"/>
  <c r="J318" i="15"/>
  <c r="J316" i="15"/>
  <c r="J299" i="15"/>
  <c r="J295" i="15"/>
  <c r="J291" i="15"/>
  <c r="J264" i="15"/>
  <c r="J260" i="15"/>
  <c r="J255" i="15"/>
  <c r="J251" i="15"/>
  <c r="J240" i="15"/>
  <c r="J232" i="15"/>
  <c r="J224" i="15"/>
  <c r="J214" i="15"/>
  <c r="J209" i="15"/>
  <c r="J205" i="15"/>
  <c r="J196" i="15"/>
  <c r="J194" i="15"/>
  <c r="J190" i="15"/>
  <c r="J179" i="15"/>
  <c r="J177" i="15"/>
  <c r="J175" i="15"/>
  <c r="J169" i="15"/>
  <c r="J167" i="15"/>
  <c r="J164" i="15"/>
  <c r="J163" i="15"/>
  <c r="J160" i="15"/>
  <c r="J159" i="15"/>
  <c r="J155" i="15"/>
  <c r="J150" i="15"/>
  <c r="J149" i="15"/>
  <c r="J147" i="15"/>
  <c r="J130" i="15"/>
  <c r="J129" i="15"/>
  <c r="J125" i="15"/>
  <c r="J124" i="15"/>
  <c r="J121" i="15"/>
  <c r="J120" i="15"/>
  <c r="J119" i="15"/>
  <c r="J117" i="15"/>
  <c r="J114" i="15"/>
  <c r="J110" i="15"/>
  <c r="J109" i="15"/>
  <c r="J99" i="15"/>
  <c r="J98" i="15"/>
  <c r="J97" i="15"/>
  <c r="J95" i="15"/>
  <c r="J94" i="15"/>
  <c r="J88" i="15"/>
  <c r="J87" i="15"/>
  <c r="J86" i="15"/>
  <c r="J85" i="15"/>
  <c r="J84" i="15"/>
  <c r="J83" i="15"/>
  <c r="J82" i="15"/>
  <c r="J81" i="15"/>
  <c r="J80" i="15"/>
  <c r="J79" i="15"/>
  <c r="J78" i="15"/>
  <c r="J77" i="15"/>
  <c r="J76" i="15"/>
  <c r="J75" i="15"/>
  <c r="J74" i="15"/>
  <c r="J72" i="15"/>
  <c r="J71" i="15"/>
  <c r="J69" i="15"/>
  <c r="J68" i="15"/>
  <c r="J67" i="15"/>
  <c r="J66" i="15"/>
  <c r="J65" i="15"/>
  <c r="J64" i="15"/>
  <c r="J62" i="15"/>
  <c r="J60" i="15"/>
  <c r="J59" i="15"/>
  <c r="J58" i="15"/>
  <c r="J56" i="15"/>
  <c r="J51" i="15"/>
  <c r="J50" i="15"/>
  <c r="J49" i="15"/>
  <c r="J48" i="15"/>
  <c r="J47" i="15"/>
  <c r="J44" i="15"/>
  <c r="J41" i="15"/>
  <c r="J34" i="15"/>
  <c r="J33" i="15"/>
  <c r="J29" i="15"/>
  <c r="J27" i="15"/>
  <c r="J25" i="15"/>
  <c r="J24" i="15"/>
  <c r="J21" i="15"/>
  <c r="J20" i="15"/>
  <c r="J19" i="15"/>
  <c r="J15" i="15"/>
  <c r="J13" i="15"/>
  <c r="J12" i="15"/>
  <c r="J11" i="15"/>
  <c r="J10" i="15"/>
  <c r="J7" i="15"/>
  <c r="J6" i="15"/>
  <c r="J5" i="15"/>
  <c r="J4" i="15"/>
  <c r="J3" i="15"/>
  <c r="G4" i="8"/>
  <c r="G5" i="8" s="1"/>
  <c r="G6" i="8" s="1"/>
  <c r="G7" i="8" s="1"/>
  <c r="G8" i="8" s="1"/>
  <c r="G9" i="8" s="1"/>
  <c r="G10" i="8" s="1"/>
  <c r="G11" i="8" s="1"/>
  <c r="G12" i="8" s="1"/>
  <c r="G13" i="8" s="1"/>
  <c r="G14" i="8" s="1"/>
  <c r="G15" i="8" s="1"/>
  <c r="G16" i="8" s="1"/>
  <c r="G17" i="8" s="1"/>
  <c r="G18" i="8" s="1"/>
  <c r="G19" i="8" s="1"/>
  <c r="G20" i="8" s="1"/>
  <c r="G21" i="8" s="1"/>
  <c r="G22" i="8" s="1"/>
  <c r="G23" i="8" s="1"/>
  <c r="G24" i="8" s="1"/>
  <c r="G25" i="8" s="1"/>
  <c r="G26" i="8" s="1"/>
  <c r="G27" i="8" s="1"/>
  <c r="G28" i="8" s="1"/>
  <c r="G29" i="8" s="1"/>
  <c r="G30" i="8" s="1"/>
  <c r="G31" i="8" s="1"/>
  <c r="G32" i="8" s="1"/>
  <c r="G33" i="8" s="1"/>
  <c r="G34" i="8" s="1"/>
  <c r="G35" i="8" s="1"/>
  <c r="G36" i="8" s="1"/>
  <c r="G37" i="8" s="1"/>
  <c r="G38" i="8" s="1"/>
  <c r="G39" i="8" s="1"/>
  <c r="G40" i="8" s="1"/>
  <c r="G41" i="8" s="1"/>
  <c r="G42" i="8" s="1"/>
  <c r="G43" i="8" s="1"/>
  <c r="G44" i="8" s="1"/>
  <c r="G45" i="8" s="1"/>
  <c r="G46" i="8" s="1"/>
  <c r="G47" i="8" s="1"/>
  <c r="G48" i="8" s="1"/>
  <c r="G49" i="8" s="1"/>
  <c r="G50" i="8" s="1"/>
  <c r="G51" i="8" s="1"/>
  <c r="G52" i="8" s="1"/>
  <c r="G53" i="8" s="1"/>
  <c r="G54" i="8" s="1"/>
  <c r="G55" i="8" s="1"/>
  <c r="G56" i="8" s="1"/>
  <c r="G57" i="8" s="1"/>
  <c r="G58" i="8" s="1"/>
  <c r="G59" i="8" s="1"/>
  <c r="G60" i="8" s="1"/>
  <c r="G61" i="8" s="1"/>
  <c r="G62" i="8" s="1"/>
  <c r="G63" i="8" s="1"/>
  <c r="G64" i="8" s="1"/>
  <c r="G65" i="8" s="1"/>
  <c r="G66" i="8" s="1"/>
  <c r="G67" i="8" s="1"/>
  <c r="G68" i="8" s="1"/>
  <c r="G69" i="8" s="1"/>
  <c r="G70" i="8" s="1"/>
  <c r="G71" i="8" s="1"/>
  <c r="G72" i="8" s="1"/>
  <c r="G73" i="8" s="1"/>
  <c r="G74" i="8" s="1"/>
  <c r="G75" i="8" s="1"/>
  <c r="G76" i="8" s="1"/>
  <c r="G77" i="8" s="1"/>
  <c r="G78" i="8" s="1"/>
  <c r="G79" i="8" s="1"/>
  <c r="G80" i="8" s="1"/>
  <c r="G81" i="8" s="1"/>
  <c r="G82" i="8" s="1"/>
  <c r="G83" i="8" s="1"/>
  <c r="G84" i="8" s="1"/>
  <c r="G85" i="8" s="1"/>
  <c r="G86" i="8" s="1"/>
  <c r="G87" i="8" s="1"/>
  <c r="G88" i="8" s="1"/>
  <c r="G89" i="8" s="1"/>
  <c r="G90" i="8" s="1"/>
  <c r="G91" i="8" s="1"/>
  <c r="G92" i="8" s="1"/>
  <c r="G93" i="8" s="1"/>
  <c r="G94" i="8" s="1"/>
  <c r="G95" i="8" s="1"/>
  <c r="G96" i="8" s="1"/>
  <c r="G97" i="8" s="1"/>
  <c r="G98" i="8" s="1"/>
  <c r="G99" i="8" s="1"/>
  <c r="G100" i="8" s="1"/>
  <c r="G101" i="8" s="1"/>
  <c r="G102" i="8" s="1"/>
  <c r="G103" i="8" s="1"/>
  <c r="G104" i="8" s="1"/>
  <c r="G105" i="8" s="1"/>
  <c r="G106" i="8" s="1"/>
  <c r="G107" i="8" s="1"/>
  <c r="G108" i="8" s="1"/>
  <c r="G109" i="8" s="1"/>
  <c r="G110" i="8" s="1"/>
  <c r="G111" i="8" s="1"/>
  <c r="G112" i="8" s="1"/>
  <c r="G113" i="8" s="1"/>
  <c r="G114" i="8" s="1"/>
  <c r="G115" i="8" s="1"/>
  <c r="G116" i="8" s="1"/>
  <c r="G117" i="8" s="1"/>
  <c r="G118" i="8" s="1"/>
  <c r="G119" i="8" s="1"/>
  <c r="G120" i="8" s="1"/>
  <c r="G121" i="8" s="1"/>
  <c r="G122" i="8" s="1"/>
  <c r="G123" i="8" s="1"/>
  <c r="G124" i="8" s="1"/>
  <c r="G125" i="8" s="1"/>
  <c r="G126" i="8" s="1"/>
  <c r="G127" i="8" s="1"/>
  <c r="G128" i="8" s="1"/>
  <c r="G129" i="8" s="1"/>
  <c r="G130" i="8" s="1"/>
  <c r="G131" i="8" s="1"/>
  <c r="G132" i="8" s="1"/>
  <c r="G133" i="8" s="1"/>
  <c r="G134" i="8" s="1"/>
  <c r="G135" i="8" s="1"/>
  <c r="G136" i="8" s="1"/>
  <c r="G137" i="8" s="1"/>
  <c r="G138" i="8" s="1"/>
  <c r="G139" i="8" s="1"/>
  <c r="G140" i="8" s="1"/>
  <c r="G141" i="8" s="1"/>
  <c r="G142" i="8" s="1"/>
  <c r="G143" i="8" s="1"/>
  <c r="G144" i="8" s="1"/>
  <c r="G145" i="8" s="1"/>
  <c r="G146" i="8" s="1"/>
  <c r="G147" i="8" s="1"/>
  <c r="G148" i="8" s="1"/>
  <c r="G149" i="8" s="1"/>
  <c r="G150" i="8" s="1"/>
  <c r="G151" i="8" s="1"/>
  <c r="G152" i="8" s="1"/>
  <c r="G153" i="8" s="1"/>
  <c r="G154" i="8" s="1"/>
  <c r="G155" i="8" s="1"/>
  <c r="G156" i="8" s="1"/>
  <c r="G157" i="8" s="1"/>
  <c r="G158" i="8" s="1"/>
  <c r="G159" i="8" s="1"/>
  <c r="G160" i="8" s="1"/>
  <c r="G161" i="8" s="1"/>
  <c r="G162" i="8" s="1"/>
  <c r="G163" i="8" s="1"/>
  <c r="G164" i="8" s="1"/>
  <c r="G165" i="8" s="1"/>
  <c r="G166" i="8" s="1"/>
  <c r="G167" i="8" s="1"/>
  <c r="G168" i="8" s="1"/>
  <c r="G169" i="8" s="1"/>
  <c r="G170" i="8" s="1"/>
  <c r="G171" i="8" s="1"/>
  <c r="G172" i="8" s="1"/>
  <c r="G173" i="8" s="1"/>
  <c r="G174" i="8" s="1"/>
  <c r="G175" i="8" s="1"/>
  <c r="G176" i="8" s="1"/>
  <c r="G177" i="8" s="1"/>
  <c r="G178" i="8" s="1"/>
  <c r="G179" i="8" s="1"/>
  <c r="G180" i="8" s="1"/>
  <c r="G181" i="8" s="1"/>
  <c r="G182" i="8" s="1"/>
  <c r="G183" i="8" s="1"/>
  <c r="G184" i="8" s="1"/>
  <c r="G185" i="8" s="1"/>
  <c r="G186" i="8" s="1"/>
  <c r="G187" i="8" s="1"/>
  <c r="G188" i="8" s="1"/>
  <c r="G189" i="8" s="1"/>
  <c r="G190" i="8" s="1"/>
  <c r="G191" i="8" s="1"/>
  <c r="G192" i="8" s="1"/>
  <c r="G193" i="8" s="1"/>
  <c r="G194" i="8" s="1"/>
  <c r="G195" i="8" s="1"/>
  <c r="G196" i="8" s="1"/>
  <c r="G197" i="8" s="1"/>
  <c r="G198" i="8" s="1"/>
  <c r="G199" i="8" s="1"/>
  <c r="G200" i="8" s="1"/>
  <c r="G201" i="8" s="1"/>
  <c r="G202" i="8" s="1"/>
  <c r="G203" i="8" s="1"/>
  <c r="G204" i="8" s="1"/>
  <c r="G205" i="8" s="1"/>
  <c r="G206" i="8" s="1"/>
  <c r="G207" i="8" s="1"/>
  <c r="G208" i="8" s="1"/>
  <c r="G209" i="8" s="1"/>
  <c r="G210" i="8" s="1"/>
  <c r="G211" i="8" s="1"/>
  <c r="G212" i="8" s="1"/>
  <c r="G213" i="8" s="1"/>
  <c r="G214" i="8" s="1"/>
  <c r="G215" i="8" s="1"/>
  <c r="G216" i="8" s="1"/>
  <c r="G217" i="8" s="1"/>
  <c r="G218" i="8" s="1"/>
  <c r="G219" i="8" s="1"/>
  <c r="G220" i="8" s="1"/>
  <c r="G221" i="8" s="1"/>
  <c r="G222" i="8" s="1"/>
  <c r="G223" i="8" s="1"/>
  <c r="G224" i="8" s="1"/>
  <c r="G225" i="8" s="1"/>
  <c r="G226" i="8" s="1"/>
  <c r="G227" i="8" s="1"/>
  <c r="G228" i="8" s="1"/>
  <c r="G229" i="8" s="1"/>
  <c r="G230" i="8" s="1"/>
  <c r="G231" i="8" s="1"/>
  <c r="G232" i="8" s="1"/>
  <c r="G233" i="8" s="1"/>
  <c r="G234" i="8" s="1"/>
  <c r="G235" i="8" s="1"/>
  <c r="G236" i="8" s="1"/>
  <c r="G237" i="8" s="1"/>
  <c r="G238" i="8" s="1"/>
  <c r="G239" i="8" s="1"/>
  <c r="G240" i="8" s="1"/>
  <c r="G241" i="8" s="1"/>
  <c r="G242" i="8" s="1"/>
  <c r="G243" i="8" s="1"/>
  <c r="G244" i="8" s="1"/>
  <c r="G245" i="8" s="1"/>
  <c r="G246" i="8" s="1"/>
  <c r="G247" i="8" s="1"/>
  <c r="G248" i="8" s="1"/>
  <c r="G249" i="8" s="1"/>
  <c r="G250" i="8" s="1"/>
  <c r="G251" i="8" s="1"/>
  <c r="G252" i="8" s="1"/>
  <c r="G253" i="8" s="1"/>
  <c r="G254" i="8" s="1"/>
  <c r="G255" i="8" s="1"/>
  <c r="G256" i="8" s="1"/>
  <c r="G257" i="8" s="1"/>
  <c r="G258" i="8" s="1"/>
  <c r="G259" i="8" s="1"/>
  <c r="G260" i="8" s="1"/>
  <c r="G261" i="8" s="1"/>
  <c r="G262" i="8" s="1"/>
  <c r="G263" i="8" s="1"/>
  <c r="G264" i="8" s="1"/>
  <c r="G265" i="8" s="1"/>
  <c r="G266" i="8" s="1"/>
  <c r="G267" i="8" s="1"/>
  <c r="G268" i="8" s="1"/>
  <c r="G269" i="8" s="1"/>
  <c r="G270" i="8" s="1"/>
  <c r="G271" i="8" s="1"/>
  <c r="G272" i="8" s="1"/>
  <c r="G273" i="8" s="1"/>
  <c r="G274" i="8" s="1"/>
  <c r="G275" i="8" s="1"/>
  <c r="G276" i="8" s="1"/>
  <c r="G277" i="8" s="1"/>
  <c r="G278" i="8" s="1"/>
  <c r="G279" i="8" s="1"/>
  <c r="G280" i="8" s="1"/>
  <c r="G281" i="8" s="1"/>
  <c r="G282" i="8" s="1"/>
  <c r="G283" i="8" s="1"/>
  <c r="G284" i="8" s="1"/>
  <c r="G285" i="8" s="1"/>
  <c r="G286" i="8" s="1"/>
  <c r="G287" i="8" s="1"/>
  <c r="G288" i="8" s="1"/>
  <c r="G289" i="8" s="1"/>
  <c r="G290" i="8" s="1"/>
  <c r="G291" i="8" s="1"/>
  <c r="G292" i="8" s="1"/>
  <c r="G293" i="8" s="1"/>
  <c r="G294" i="8" s="1"/>
  <c r="G295" i="8" s="1"/>
  <c r="G296" i="8" s="1"/>
  <c r="G297" i="8" s="1"/>
  <c r="G298" i="8" s="1"/>
  <c r="G299" i="8" s="1"/>
  <c r="G300" i="8" s="1"/>
  <c r="G301" i="8" s="1"/>
  <c r="G302" i="8" s="1"/>
  <c r="G303" i="8" s="1"/>
  <c r="G304" i="8" s="1"/>
  <c r="G305" i="8" s="1"/>
  <c r="G306" i="8" s="1"/>
  <c r="G307" i="8" s="1"/>
  <c r="G308" i="8" s="1"/>
  <c r="G309" i="8" s="1"/>
  <c r="G310" i="8" s="1"/>
  <c r="G311" i="8" s="1"/>
  <c r="G312" i="8" s="1"/>
  <c r="G313" i="8" s="1"/>
  <c r="G314" i="8" s="1"/>
  <c r="G315" i="8" s="1"/>
  <c r="G316" i="8" s="1"/>
  <c r="G317" i="8" s="1"/>
  <c r="G318" i="8" s="1"/>
  <c r="G319" i="8" s="1"/>
  <c r="G320" i="8" s="1"/>
  <c r="G321" i="8" s="1"/>
  <c r="G322" i="8" s="1"/>
  <c r="G323" i="8" s="1"/>
  <c r="G324" i="8" s="1"/>
  <c r="G325" i="8" s="1"/>
  <c r="G326" i="8" s="1"/>
  <c r="G327" i="8" s="1"/>
  <c r="G328" i="8" s="1"/>
  <c r="G329" i="8" s="1"/>
  <c r="G330" i="8" s="1"/>
  <c r="G331" i="8" s="1"/>
  <c r="G332" i="8" s="1"/>
  <c r="G333" i="8" s="1"/>
  <c r="G334" i="8" s="1"/>
  <c r="G335" i="8" s="1"/>
  <c r="G336" i="8" s="1"/>
  <c r="G337" i="8" s="1"/>
  <c r="G338" i="8" s="1"/>
  <c r="G339" i="8" s="1"/>
  <c r="G340" i="8" s="1"/>
  <c r="G341" i="8" s="1"/>
  <c r="G342" i="8" s="1"/>
  <c r="G343" i="8" s="1"/>
  <c r="G344" i="8" s="1"/>
  <c r="G345" i="8" s="1"/>
  <c r="G346" i="8" s="1"/>
  <c r="G347" i="8" s="1"/>
  <c r="G348" i="8" s="1"/>
  <c r="G349" i="8" s="1"/>
  <c r="G350" i="8" s="1"/>
  <c r="G351" i="8" s="1"/>
  <c r="G352" i="8" s="1"/>
  <c r="G353" i="8" s="1"/>
  <c r="G354" i="8" s="1"/>
  <c r="G355" i="8" s="1"/>
  <c r="G356" i="8" s="1"/>
  <c r="G357" i="8" s="1"/>
  <c r="G358" i="8" s="1"/>
  <c r="G359" i="8" s="1"/>
  <c r="G360" i="8" s="1"/>
  <c r="G361" i="8" s="1"/>
  <c r="G362" i="8" s="1"/>
  <c r="G363" i="8" s="1"/>
  <c r="G364" i="8" s="1"/>
  <c r="G365" i="8" s="1"/>
  <c r="G366" i="8" s="1"/>
  <c r="G367" i="8" s="1"/>
  <c r="G368" i="8" s="1"/>
  <c r="G369" i="8" s="1"/>
  <c r="G370" i="8" s="1"/>
  <c r="G371" i="8" s="1"/>
  <c r="G372" i="8" s="1"/>
  <c r="G373" i="8" s="1"/>
  <c r="G374" i="8" s="1"/>
  <c r="G375" i="8" s="1"/>
  <c r="G376" i="8" s="1"/>
  <c r="G377" i="8" s="1"/>
  <c r="G378" i="8" s="1"/>
  <c r="G379" i="8" s="1"/>
  <c r="G380" i="8" s="1"/>
  <c r="G381" i="8" s="1"/>
  <c r="G382" i="8" s="1"/>
  <c r="G383" i="8" s="1"/>
  <c r="G384" i="8" s="1"/>
  <c r="G385" i="8" s="1"/>
  <c r="G386" i="8" s="1"/>
  <c r="G387" i="8" s="1"/>
  <c r="G388" i="8" s="1"/>
  <c r="G389" i="8" s="1"/>
  <c r="G390" i="8" s="1"/>
  <c r="G391" i="8" s="1"/>
  <c r="G392" i="8" s="1"/>
  <c r="G393" i="8" s="1"/>
  <c r="G394" i="8" s="1"/>
  <c r="G395" i="8" s="1"/>
  <c r="G396" i="8" s="1"/>
  <c r="G397" i="8" s="1"/>
  <c r="G398" i="8" s="1"/>
  <c r="G399" i="8" s="1"/>
  <c r="G400" i="8" s="1"/>
  <c r="G401" i="8" s="1"/>
  <c r="G402" i="8" s="1"/>
  <c r="G403" i="8" s="1"/>
  <c r="G404" i="8" s="1"/>
  <c r="G405" i="8" s="1"/>
  <c r="G406" i="8" s="1"/>
  <c r="G407" i="8" s="1"/>
  <c r="G408" i="8" s="1"/>
  <c r="G409" i="8" s="1"/>
  <c r="G410" i="8" s="1"/>
  <c r="G411" i="8" s="1"/>
  <c r="G412" i="8" s="1"/>
  <c r="G413" i="8" s="1"/>
  <c r="G414" i="8" s="1"/>
  <c r="G415" i="8" s="1"/>
  <c r="G416" i="8" s="1"/>
  <c r="G417" i="8" s="1"/>
  <c r="G418" i="8" s="1"/>
  <c r="G419" i="8" s="1"/>
  <c r="G420" i="8" s="1"/>
  <c r="G421" i="8" s="1"/>
  <c r="G422" i="8" s="1"/>
  <c r="G423" i="8" s="1"/>
  <c r="G424" i="8" s="1"/>
  <c r="G425" i="8" s="1"/>
  <c r="G426" i="8" s="1"/>
  <c r="G427" i="8" s="1"/>
  <c r="G428" i="8" s="1"/>
  <c r="G429" i="8" s="1"/>
  <c r="G430" i="8" s="1"/>
  <c r="G431" i="8" s="1"/>
  <c r="G432" i="8" s="1"/>
  <c r="G433" i="8" s="1"/>
  <c r="G434" i="8" s="1"/>
  <c r="G435" i="8" s="1"/>
  <c r="G436" i="8" s="1"/>
  <c r="G437" i="8" s="1"/>
  <c r="G438" i="8" s="1"/>
  <c r="G439" i="8" s="1"/>
  <c r="G440" i="8" s="1"/>
  <c r="G441" i="8" s="1"/>
  <c r="G442" i="8" s="1"/>
  <c r="G443" i="8" s="1"/>
  <c r="G444" i="8" s="1"/>
  <c r="G445" i="8" s="1"/>
  <c r="G446" i="8" s="1"/>
  <c r="G447" i="8" s="1"/>
  <c r="G448" i="8" s="1"/>
  <c r="G449" i="8" s="1"/>
  <c r="G450" i="8" s="1"/>
  <c r="G451" i="8" s="1"/>
  <c r="G452" i="8" s="1"/>
  <c r="G453" i="8" s="1"/>
  <c r="G454" i="8" s="1"/>
  <c r="G455" i="8" s="1"/>
  <c r="G456" i="8" s="1"/>
  <c r="G457" i="8" s="1"/>
  <c r="G458" i="8" s="1"/>
  <c r="G459" i="8" s="1"/>
  <c r="G460" i="8" s="1"/>
  <c r="G461" i="8" s="1"/>
  <c r="G462" i="8" s="1"/>
  <c r="G463" i="8" s="1"/>
  <c r="G464" i="8" s="1"/>
  <c r="G465" i="8" s="1"/>
  <c r="G466" i="8" s="1"/>
  <c r="G467" i="8" s="1"/>
  <c r="G468" i="8" s="1"/>
  <c r="G469" i="8" s="1"/>
  <c r="G470" i="8" s="1"/>
  <c r="G471" i="8" s="1"/>
  <c r="G472" i="8" s="1"/>
  <c r="G473" i="8" s="1"/>
  <c r="G474" i="8" s="1"/>
  <c r="G475" i="8" s="1"/>
  <c r="G476" i="8" s="1"/>
  <c r="G477" i="8" s="1"/>
  <c r="G478" i="8" s="1"/>
  <c r="G479" i="8" s="1"/>
  <c r="G480" i="8" s="1"/>
  <c r="G481" i="8" s="1"/>
  <c r="G482" i="8" s="1"/>
  <c r="G483" i="8" s="1"/>
  <c r="G484" i="8" s="1"/>
  <c r="G485" i="8" s="1"/>
  <c r="G486" i="8" s="1"/>
  <c r="G487" i="8" s="1"/>
  <c r="G488" i="8" s="1"/>
  <c r="G489" i="8" s="1"/>
  <c r="G490" i="8" s="1"/>
  <c r="G491" i="8" s="1"/>
  <c r="G492" i="8" s="1"/>
  <c r="G493" i="8" s="1"/>
  <c r="G494" i="8" s="1"/>
  <c r="G495" i="8" s="1"/>
  <c r="G496" i="8" s="1"/>
  <c r="G497" i="8" s="1"/>
  <c r="G498" i="8" s="1"/>
  <c r="G499" i="8" s="1"/>
  <c r="G500" i="8" s="1"/>
  <c r="G501" i="8" s="1"/>
  <c r="G502" i="8" s="1"/>
  <c r="G503" i="8" s="1"/>
  <c r="G504" i="8" s="1"/>
  <c r="G505" i="8" s="1"/>
  <c r="G506" i="8" s="1"/>
  <c r="G507" i="8" s="1"/>
  <c r="G508" i="8" s="1"/>
  <c r="G509" i="8" s="1"/>
  <c r="G510" i="8" s="1"/>
  <c r="G511" i="8" s="1"/>
  <c r="G512" i="8" s="1"/>
  <c r="G513" i="8" s="1"/>
  <c r="G514" i="8" s="1"/>
  <c r="G515" i="8" s="1"/>
  <c r="G516" i="8" s="1"/>
  <c r="G517" i="8" s="1"/>
  <c r="G518" i="8" s="1"/>
  <c r="G519" i="8" s="1"/>
  <c r="G520" i="8" s="1"/>
  <c r="G521" i="8" s="1"/>
  <c r="G522" i="8" s="1"/>
  <c r="G523" i="8" s="1"/>
  <c r="G524" i="8" s="1"/>
  <c r="G525" i="8" s="1"/>
  <c r="G526" i="8" s="1"/>
  <c r="G527" i="8" s="1"/>
  <c r="G528" i="8" s="1"/>
  <c r="G529" i="8" s="1"/>
  <c r="G530" i="8" s="1"/>
  <c r="G531" i="8" s="1"/>
  <c r="G532" i="8" s="1"/>
  <c r="G533" i="8" s="1"/>
  <c r="G534" i="8" s="1"/>
  <c r="G535" i="8" s="1"/>
  <c r="G536" i="8" s="1"/>
  <c r="G537" i="8" s="1"/>
  <c r="G538" i="8" s="1"/>
  <c r="G539" i="8" s="1"/>
  <c r="G540" i="8" s="1"/>
  <c r="G541" i="8" s="1"/>
  <c r="G542" i="8" s="1"/>
  <c r="G543" i="8" s="1"/>
  <c r="G544" i="8" s="1"/>
  <c r="G545" i="8" s="1"/>
  <c r="G546" i="8" s="1"/>
  <c r="G547" i="8" s="1"/>
  <c r="G548" i="8" s="1"/>
  <c r="G549" i="8" s="1"/>
  <c r="G550" i="8" s="1"/>
  <c r="G551" i="8" s="1"/>
  <c r="G552" i="8" s="1"/>
  <c r="G553" i="8" s="1"/>
  <c r="G554" i="8" s="1"/>
  <c r="G555" i="8" s="1"/>
  <c r="G556" i="8" s="1"/>
  <c r="G557" i="8" s="1"/>
  <c r="G558" i="8" s="1"/>
  <c r="G559" i="8" s="1"/>
  <c r="G560" i="8" s="1"/>
  <c r="G561" i="8" s="1"/>
  <c r="G562" i="8" s="1"/>
  <c r="G563" i="8" s="1"/>
  <c r="G564" i="8" s="1"/>
  <c r="G565" i="8" s="1"/>
  <c r="G566" i="8" s="1"/>
  <c r="G567" i="8" s="1"/>
  <c r="G568" i="8" s="1"/>
  <c r="G569" i="8" s="1"/>
  <c r="G570" i="8" s="1"/>
  <c r="G571" i="8" s="1"/>
  <c r="G572" i="8" s="1"/>
  <c r="G573" i="8" s="1"/>
  <c r="G574" i="8" s="1"/>
  <c r="G575" i="8" s="1"/>
  <c r="G576" i="8" s="1"/>
  <c r="G577" i="8" s="1"/>
  <c r="G578" i="8" s="1"/>
  <c r="G579" i="8" s="1"/>
  <c r="G580" i="8" s="1"/>
  <c r="G581" i="8" s="1"/>
  <c r="G582" i="8" s="1"/>
  <c r="G583" i="8" s="1"/>
  <c r="G584" i="8" s="1"/>
  <c r="G585" i="8" s="1"/>
  <c r="G586" i="8" s="1"/>
  <c r="G587" i="8" s="1"/>
  <c r="G588" i="8" s="1"/>
  <c r="G589" i="8" s="1"/>
  <c r="G590" i="8" s="1"/>
  <c r="G591" i="8" s="1"/>
  <c r="G592" i="8" s="1"/>
  <c r="G593" i="8" s="1"/>
  <c r="G594" i="8" s="1"/>
  <c r="G595" i="8" s="1"/>
  <c r="G596" i="8" s="1"/>
  <c r="G597" i="8" s="1"/>
  <c r="G598" i="8" s="1"/>
  <c r="G599" i="8" s="1"/>
  <c r="G600" i="8" s="1"/>
  <c r="G601" i="8" s="1"/>
  <c r="G602" i="8" s="1"/>
  <c r="G603" i="8" s="1"/>
  <c r="G604" i="8" s="1"/>
  <c r="G605" i="8" s="1"/>
  <c r="G606" i="8" s="1"/>
  <c r="G607" i="8" s="1"/>
  <c r="G608" i="8" s="1"/>
  <c r="G609" i="8" s="1"/>
  <c r="G610" i="8" s="1"/>
  <c r="G611" i="8" s="1"/>
  <c r="G612" i="8" s="1"/>
  <c r="G613" i="8" s="1"/>
  <c r="G614" i="8" s="1"/>
  <c r="G615" i="8" s="1"/>
  <c r="G616" i="8" s="1"/>
  <c r="G617" i="8" s="1"/>
  <c r="G618" i="8" s="1"/>
  <c r="G619" i="8" s="1"/>
  <c r="G620" i="8" s="1"/>
  <c r="G621" i="8" s="1"/>
  <c r="G622" i="8" s="1"/>
  <c r="G623" i="8" s="1"/>
  <c r="G624" i="8" s="1"/>
  <c r="G625" i="8" s="1"/>
  <c r="G626" i="8" s="1"/>
  <c r="G627" i="8" s="1"/>
  <c r="G628" i="8" s="1"/>
  <c r="G629" i="8" s="1"/>
  <c r="G630" i="8" s="1"/>
  <c r="G631" i="8" s="1"/>
  <c r="G632" i="8" s="1"/>
  <c r="G633" i="8" s="1"/>
  <c r="G634" i="8" s="1"/>
  <c r="G635" i="8" s="1"/>
  <c r="G636" i="8" s="1"/>
  <c r="G637" i="8" s="1"/>
  <c r="G638" i="8" s="1"/>
  <c r="G639" i="8" s="1"/>
  <c r="G640" i="8" s="1"/>
  <c r="G641" i="8" s="1"/>
  <c r="G642" i="8" s="1"/>
  <c r="G643" i="8" s="1"/>
  <c r="G644" i="8" s="1"/>
  <c r="G645" i="8" s="1"/>
  <c r="G646" i="8" s="1"/>
  <c r="G647" i="8" s="1"/>
  <c r="G648" i="8" s="1"/>
  <c r="G649" i="8" s="1"/>
  <c r="G650" i="8" s="1"/>
  <c r="G651" i="8" s="1"/>
  <c r="G652" i="8" s="1"/>
  <c r="G653" i="8" s="1"/>
  <c r="G654" i="8" s="1"/>
  <c r="G655" i="8" s="1"/>
  <c r="G656" i="8" s="1"/>
  <c r="G657" i="8" s="1"/>
  <c r="G658" i="8" s="1"/>
  <c r="G659" i="8" s="1"/>
  <c r="G660" i="8" s="1"/>
  <c r="G661" i="8" s="1"/>
  <c r="G662" i="8" s="1"/>
  <c r="G663" i="8" s="1"/>
  <c r="G664" i="8" s="1"/>
  <c r="G665" i="8" s="1"/>
  <c r="G666" i="8" s="1"/>
  <c r="G667" i="8" s="1"/>
  <c r="G668" i="8" s="1"/>
  <c r="G669" i="8" s="1"/>
  <c r="G670" i="8" s="1"/>
  <c r="G671" i="8" s="1"/>
  <c r="G672" i="8" s="1"/>
  <c r="G673" i="8" s="1"/>
  <c r="G674" i="8" s="1"/>
  <c r="G675" i="8" s="1"/>
  <c r="G676" i="8" s="1"/>
  <c r="G677" i="8" s="1"/>
  <c r="G678" i="8" s="1"/>
  <c r="G679" i="8" s="1"/>
  <c r="G680" i="8" s="1"/>
  <c r="G681" i="8" s="1"/>
  <c r="G682" i="8" s="1"/>
  <c r="G683" i="8" s="1"/>
  <c r="G684" i="8" s="1"/>
  <c r="G685" i="8" s="1"/>
  <c r="G686" i="8" s="1"/>
  <c r="G687" i="8" s="1"/>
  <c r="G3" i="8"/>
  <c r="G2" i="8"/>
  <c r="L4" i="8"/>
  <c r="L5" i="8"/>
  <c r="L7" i="8"/>
  <c r="L9" i="8"/>
  <c r="L10" i="8"/>
  <c r="L12" i="8"/>
  <c r="L14" i="8"/>
  <c r="L17" i="8"/>
  <c r="L18" i="8"/>
  <c r="L20" i="8"/>
  <c r="L21" i="8"/>
  <c r="L23" i="8"/>
  <c r="L26" i="8"/>
  <c r="L27" i="8"/>
  <c r="L29" i="8"/>
  <c r="L30" i="8"/>
  <c r="L31" i="8"/>
  <c r="L32" i="8"/>
  <c r="L33" i="8"/>
  <c r="L34" i="8"/>
  <c r="L35" i="8"/>
  <c r="L36" i="8"/>
  <c r="L37" i="8"/>
  <c r="L39" i="8"/>
  <c r="L40" i="8"/>
  <c r="L41" i="8"/>
  <c r="L42" i="8"/>
  <c r="L43" i="8"/>
  <c r="L44" i="8"/>
  <c r="L45" i="8"/>
  <c r="L46" i="8"/>
  <c r="L47" i="8"/>
  <c r="L48" i="8"/>
  <c r="L49" i="8"/>
  <c r="L50" i="8"/>
  <c r="L51" i="8"/>
  <c r="L52" i="8"/>
  <c r="L53" i="8"/>
  <c r="L54" i="8"/>
  <c r="L55" i="8"/>
  <c r="L56" i="8"/>
  <c r="L57" i="8"/>
  <c r="L58" i="8"/>
  <c r="L59" i="8"/>
  <c r="L60" i="8"/>
  <c r="L62" i="8"/>
  <c r="L63" i="8"/>
  <c r="L64" i="8"/>
  <c r="L65" i="8"/>
  <c r="L66" i="8"/>
  <c r="L67" i="8"/>
  <c r="L68" i="8"/>
  <c r="L69" i="8"/>
  <c r="L70" i="8"/>
  <c r="L72" i="8"/>
  <c r="L73" i="8"/>
  <c r="L74" i="8"/>
  <c r="L75" i="8"/>
  <c r="L78" i="8"/>
  <c r="L79" i="8"/>
  <c r="L81" i="8"/>
  <c r="L82" i="8"/>
  <c r="L83" i="8"/>
  <c r="L84" i="8"/>
  <c r="L85" i="8"/>
  <c r="L86" i="8"/>
  <c r="L87" i="8"/>
  <c r="L88" i="8"/>
  <c r="L89" i="8"/>
  <c r="L90" i="8"/>
  <c r="L91" i="8"/>
  <c r="L92" i="8"/>
  <c r="L93" i="8"/>
  <c r="L94" i="8"/>
  <c r="L96" i="8"/>
  <c r="L97" i="8"/>
  <c r="L98" i="8"/>
  <c r="L99" i="8"/>
  <c r="L100" i="8"/>
  <c r="L101" i="8"/>
  <c r="L102" i="8"/>
  <c r="L104" i="8"/>
  <c r="L105" i="8"/>
  <c r="L106" i="8"/>
  <c r="L107" i="8"/>
  <c r="L108" i="8"/>
  <c r="L109" i="8"/>
  <c r="L110" i="8"/>
  <c r="L111" i="8"/>
  <c r="L113" i="8"/>
  <c r="L114" i="8"/>
  <c r="L115" i="8"/>
  <c r="L116" i="8"/>
  <c r="L117" i="8"/>
  <c r="L118" i="8"/>
  <c r="L119" i="8"/>
  <c r="L120" i="8"/>
  <c r="L121" i="8"/>
  <c r="L122" i="8"/>
  <c r="L123" i="8"/>
  <c r="L124" i="8"/>
  <c r="L125" i="8"/>
  <c r="L126" i="8"/>
  <c r="L127" i="8"/>
  <c r="L128" i="8"/>
  <c r="L129" i="8"/>
  <c r="L130" i="8"/>
  <c r="L132" i="8"/>
  <c r="L133" i="8"/>
  <c r="L134" i="8"/>
  <c r="L135" i="8"/>
  <c r="L136" i="8"/>
  <c r="L138" i="8"/>
  <c r="L139" i="8"/>
  <c r="L140" i="8"/>
  <c r="L142" i="8"/>
  <c r="L143" i="8"/>
  <c r="L144" i="8"/>
  <c r="L145" i="8"/>
  <c r="L146" i="8"/>
  <c r="L147" i="8"/>
  <c r="L148" i="8"/>
  <c r="L149" i="8"/>
  <c r="L150" i="8"/>
  <c r="L151" i="8"/>
  <c r="L152" i="8"/>
  <c r="L153" i="8"/>
  <c r="L154" i="8"/>
  <c r="L155" i="8"/>
  <c r="L156" i="8"/>
  <c r="L157" i="8"/>
  <c r="L158" i="8"/>
  <c r="L159" i="8"/>
  <c r="L160" i="8"/>
  <c r="L161" i="8"/>
  <c r="L162" i="8"/>
  <c r="L165" i="8"/>
  <c r="L166" i="8"/>
  <c r="L167" i="8"/>
  <c r="L169" i="8"/>
  <c r="L170" i="8"/>
  <c r="L171" i="8"/>
  <c r="L172" i="8"/>
  <c r="L174" i="8"/>
  <c r="L175" i="8"/>
  <c r="L176" i="8"/>
  <c r="L177" i="8"/>
  <c r="L178" i="8"/>
  <c r="L180" i="8"/>
  <c r="L182" i="8"/>
  <c r="L185" i="8"/>
  <c r="L187" i="8"/>
  <c r="L188" i="8"/>
  <c r="L190" i="8"/>
  <c r="L191" i="8"/>
  <c r="L192" i="8"/>
  <c r="L193" i="8"/>
  <c r="L194" i="8"/>
  <c r="L195" i="8"/>
  <c r="L197" i="8"/>
  <c r="L198" i="8"/>
  <c r="L199" i="8"/>
  <c r="L200" i="8"/>
  <c r="L202" i="8"/>
  <c r="L203" i="8"/>
  <c r="L204" i="8"/>
  <c r="L205" i="8"/>
  <c r="L206" i="8"/>
  <c r="L207" i="8"/>
  <c r="L208" i="8"/>
  <c r="L209" i="8"/>
  <c r="L210" i="8"/>
  <c r="L211" i="8"/>
  <c r="L213" i="8"/>
  <c r="L214" i="8"/>
  <c r="L215" i="8"/>
  <c r="L216" i="8"/>
  <c r="L217" i="8"/>
  <c r="L220" i="8"/>
  <c r="L221" i="8"/>
  <c r="L222" i="8"/>
  <c r="L223" i="8"/>
  <c r="L224" i="8"/>
  <c r="L225" i="8"/>
  <c r="L226" i="8"/>
  <c r="L228" i="8"/>
  <c r="L229" i="8"/>
  <c r="L230" i="8"/>
  <c r="L231" i="8"/>
  <c r="L234" i="8"/>
  <c r="L236" i="8"/>
  <c r="L238" i="8"/>
  <c r="L241" i="8"/>
  <c r="L242" i="8"/>
  <c r="L243" i="8"/>
  <c r="L244" i="8"/>
  <c r="L245" i="8"/>
  <c r="L246" i="8"/>
  <c r="L247" i="8"/>
  <c r="L248" i="8"/>
  <c r="L249" i="8"/>
  <c r="L250" i="8"/>
  <c r="L251" i="8"/>
  <c r="L252" i="8"/>
  <c r="L253" i="8"/>
  <c r="L254" i="8"/>
  <c r="L255" i="8"/>
  <c r="L256" i="8"/>
  <c r="L257" i="8"/>
  <c r="L258" i="8"/>
  <c r="L259" i="8"/>
  <c r="L261" i="8"/>
  <c r="L263" i="8"/>
  <c r="L266" i="8"/>
  <c r="L267" i="8"/>
  <c r="L268" i="8"/>
  <c r="L269" i="8"/>
  <c r="L270" i="8"/>
  <c r="L271" i="8"/>
  <c r="L272" i="8"/>
  <c r="L273" i="8"/>
  <c r="L274" i="8"/>
  <c r="L275" i="8"/>
  <c r="L276" i="8"/>
  <c r="L277" i="8"/>
  <c r="L278" i="8"/>
  <c r="L279" i="8"/>
  <c r="L282" i="8"/>
  <c r="L283" i="8"/>
  <c r="L286" i="8"/>
  <c r="L287" i="8"/>
  <c r="L288" i="8"/>
  <c r="L289" i="8"/>
  <c r="L290" i="8"/>
  <c r="L291" i="8"/>
  <c r="L292" i="8"/>
  <c r="L293" i="8"/>
  <c r="L294" i="8"/>
  <c r="L296" i="8"/>
  <c r="L297" i="8"/>
  <c r="L299" i="8"/>
  <c r="L300" i="8"/>
  <c r="L301" i="8"/>
  <c r="L302" i="8"/>
  <c r="L303" i="8"/>
  <c r="L304" i="8"/>
  <c r="L305" i="8"/>
  <c r="L306" i="8"/>
  <c r="L307" i="8"/>
  <c r="L309" i="8"/>
  <c r="L310" i="8"/>
  <c r="L311" i="8"/>
  <c r="L312" i="8"/>
  <c r="L314" i="8"/>
  <c r="L315" i="8"/>
  <c r="L316" i="8"/>
  <c r="L317" i="8"/>
  <c r="L319" i="8"/>
  <c r="L320" i="8"/>
  <c r="L321" i="8"/>
  <c r="L322" i="8"/>
  <c r="L323" i="8"/>
  <c r="L324" i="8"/>
  <c r="L325" i="8"/>
  <c r="L326" i="8"/>
  <c r="L328" i="8"/>
  <c r="L329" i="8"/>
  <c r="L331" i="8"/>
  <c r="L332" i="8"/>
  <c r="L333" i="8"/>
  <c r="L334" i="8"/>
  <c r="L335" i="8"/>
  <c r="L336" i="8"/>
  <c r="L337" i="8"/>
  <c r="L338" i="8"/>
  <c r="L339" i="8"/>
  <c r="L340" i="8"/>
  <c r="L341" i="8"/>
  <c r="L342" i="8"/>
  <c r="L343" i="8"/>
  <c r="L344" i="8"/>
  <c r="L345" i="8"/>
  <c r="L346" i="8"/>
  <c r="L347" i="8"/>
  <c r="L348" i="8"/>
  <c r="L349" i="8"/>
  <c r="L350" i="8"/>
  <c r="L351" i="8"/>
  <c r="L352" i="8"/>
  <c r="L353" i="8"/>
  <c r="L354" i="8"/>
  <c r="L355" i="8"/>
  <c r="L356" i="8"/>
  <c r="L357" i="8"/>
  <c r="L358" i="8"/>
  <c r="L359" i="8"/>
  <c r="L360" i="8"/>
  <c r="L362" i="8"/>
  <c r="L363" i="8"/>
  <c r="L364" i="8"/>
  <c r="L365" i="8"/>
  <c r="L366" i="8"/>
  <c r="L367" i="8"/>
  <c r="L368" i="8"/>
  <c r="L369" i="8"/>
  <c r="L370" i="8"/>
  <c r="L371" i="8"/>
  <c r="L373" i="8"/>
  <c r="L375" i="8"/>
  <c r="L376" i="8"/>
  <c r="L377" i="8"/>
  <c r="L378" i="8"/>
  <c r="L379" i="8"/>
  <c r="L380" i="8"/>
  <c r="L381" i="8"/>
  <c r="L382" i="8"/>
  <c r="L383" i="8"/>
  <c r="L384" i="8"/>
  <c r="L385" i="8"/>
  <c r="L386" i="8"/>
  <c r="L388" i="8"/>
  <c r="L389" i="8"/>
  <c r="L390" i="8"/>
  <c r="L391" i="8"/>
  <c r="L393" i="8"/>
  <c r="L395" i="8"/>
  <c r="L396" i="8"/>
  <c r="L398" i="8"/>
  <c r="L399" i="8"/>
  <c r="L400" i="8"/>
  <c r="L402" i="8"/>
  <c r="L403" i="8"/>
  <c r="L405" i="8"/>
  <c r="L406" i="8"/>
  <c r="L407" i="8"/>
  <c r="L408" i="8"/>
  <c r="L410" i="8"/>
  <c r="L411" i="8"/>
  <c r="L412" i="8"/>
  <c r="L413" i="8"/>
  <c r="L414" i="8"/>
  <c r="L415" i="8"/>
  <c r="L416" i="8"/>
  <c r="L417" i="8"/>
  <c r="L418" i="8"/>
  <c r="L419" i="8"/>
  <c r="L420" i="8"/>
  <c r="L421" i="8"/>
  <c r="L422" i="8"/>
  <c r="L423" i="8"/>
  <c r="L424" i="8"/>
  <c r="L425" i="8"/>
  <c r="L426" i="8"/>
  <c r="L427" i="8"/>
  <c r="L428" i="8"/>
  <c r="L429" i="8"/>
  <c r="L430" i="8"/>
  <c r="L431" i="8"/>
  <c r="L433" i="8"/>
  <c r="L434" i="8"/>
  <c r="L435" i="8"/>
  <c r="L436" i="8"/>
  <c r="L437" i="8"/>
  <c r="L438" i="8"/>
  <c r="L439" i="8"/>
  <c r="L440" i="8"/>
  <c r="L442" i="8"/>
  <c r="L443" i="8"/>
  <c r="L444" i="8"/>
  <c r="L445" i="8"/>
  <c r="L446" i="8"/>
  <c r="L447" i="8"/>
  <c r="L448" i="8"/>
  <c r="L449" i="8"/>
  <c r="L450" i="8"/>
  <c r="L452" i="8"/>
  <c r="L455" i="8"/>
  <c r="L457" i="8"/>
  <c r="L458" i="8"/>
  <c r="L459" i="8"/>
  <c r="L460" i="8"/>
  <c r="L461" i="8"/>
  <c r="L462" i="8"/>
  <c r="L463" i="8"/>
  <c r="L464" i="8"/>
  <c r="L465" i="8"/>
  <c r="L466" i="8"/>
  <c r="L468" i="8"/>
  <c r="L469" i="8"/>
  <c r="L471" i="8"/>
  <c r="L472" i="8"/>
  <c r="L473" i="8"/>
  <c r="L474" i="8"/>
  <c r="L475" i="8"/>
  <c r="L477" i="8"/>
  <c r="L478" i="8"/>
  <c r="L479" i="8"/>
  <c r="L480" i="8"/>
  <c r="L481" i="8"/>
  <c r="L482" i="8"/>
  <c r="L483" i="8"/>
  <c r="L484" i="8"/>
  <c r="L485" i="8"/>
  <c r="L486" i="8"/>
  <c r="L488" i="8"/>
  <c r="L489" i="8"/>
  <c r="L491" i="8"/>
  <c r="L492" i="8"/>
  <c r="L493" i="8"/>
  <c r="L495" i="8"/>
  <c r="L496" i="8"/>
  <c r="L497" i="8"/>
  <c r="L498" i="8"/>
  <c r="L499" i="8"/>
  <c r="L500" i="8"/>
  <c r="L501" i="8"/>
  <c r="L502" i="8"/>
  <c r="L503" i="8"/>
  <c r="L507" i="8"/>
  <c r="L508" i="8"/>
  <c r="L509" i="8"/>
  <c r="L510" i="8"/>
  <c r="L511" i="8"/>
  <c r="L512" i="8"/>
  <c r="L513" i="8"/>
  <c r="L514" i="8"/>
  <c r="L516" i="8"/>
  <c r="L517" i="8"/>
  <c r="L518" i="8"/>
  <c r="L519" i="8"/>
  <c r="L520" i="8"/>
  <c r="L522" i="8"/>
  <c r="L523" i="8"/>
  <c r="L524" i="8"/>
  <c r="L525" i="8"/>
  <c r="L526" i="8"/>
  <c r="L527" i="8"/>
  <c r="L528" i="8"/>
  <c r="L529" i="8"/>
  <c r="L530" i="8"/>
  <c r="L531" i="8"/>
  <c r="L533" i="8"/>
  <c r="L534" i="8"/>
  <c r="L536" i="8"/>
  <c r="L538" i="8"/>
  <c r="L540" i="8"/>
  <c r="L541" i="8"/>
  <c r="L542" i="8"/>
  <c r="L543" i="8"/>
  <c r="L545" i="8"/>
  <c r="L546" i="8"/>
  <c r="L548" i="8"/>
  <c r="L550" i="8"/>
  <c r="L551" i="8"/>
  <c r="L556" i="8"/>
  <c r="L557" i="8"/>
  <c r="L558" i="8"/>
  <c r="L559" i="8"/>
  <c r="L560" i="8"/>
  <c r="L561" i="8"/>
  <c r="L562" i="8"/>
  <c r="L564" i="8"/>
  <c r="L565" i="8"/>
  <c r="L566" i="8"/>
  <c r="L567" i="8"/>
  <c r="L569" i="8"/>
  <c r="L570" i="8"/>
  <c r="L571" i="8"/>
  <c r="L572" i="8"/>
  <c r="L573" i="8"/>
  <c r="L574" i="8"/>
  <c r="L575" i="8"/>
  <c r="L577" i="8"/>
  <c r="L578" i="8"/>
  <c r="L579" i="8"/>
  <c r="L580" i="8"/>
  <c r="L581" i="8"/>
  <c r="L583" i="8"/>
  <c r="L584" i="8"/>
  <c r="L588" i="8"/>
  <c r="L589" i="8"/>
  <c r="L590" i="8"/>
  <c r="L591" i="8"/>
  <c r="L592" i="8"/>
  <c r="L593" i="8"/>
  <c r="L594" i="8"/>
  <c r="L596" i="8"/>
  <c r="L597" i="8"/>
  <c r="L598" i="8"/>
  <c r="L599" i="8"/>
  <c r="L601" i="8"/>
  <c r="L602" i="8"/>
  <c r="L604" i="8"/>
  <c r="L605" i="8"/>
  <c r="L606" i="8"/>
  <c r="L607" i="8"/>
  <c r="L608" i="8"/>
  <c r="L609" i="8"/>
  <c r="L610" i="8"/>
  <c r="L611" i="8"/>
  <c r="L612" i="8"/>
  <c r="L613" i="8"/>
  <c r="L614" i="8"/>
  <c r="L615" i="8"/>
  <c r="L616" i="8"/>
  <c r="L617" i="8"/>
  <c r="L619" i="8"/>
  <c r="L621" i="8"/>
  <c r="L622" i="8"/>
  <c r="L623" i="8"/>
  <c r="L624" i="8"/>
  <c r="L625" i="8"/>
  <c r="L626" i="8"/>
  <c r="L628" i="8"/>
  <c r="L629" i="8"/>
  <c r="L630" i="8"/>
  <c r="L631" i="8"/>
  <c r="L632" i="8"/>
  <c r="L633" i="8"/>
  <c r="L634" i="8"/>
  <c r="L636" i="8"/>
  <c r="L638" i="8"/>
  <c r="L639" i="8"/>
  <c r="L640" i="8"/>
  <c r="L641" i="8"/>
  <c r="L642" i="8"/>
  <c r="L643" i="8"/>
  <c r="L648" i="8"/>
  <c r="L649" i="8"/>
  <c r="L650" i="8"/>
  <c r="L651" i="8"/>
  <c r="L652" i="8"/>
  <c r="L653" i="8"/>
  <c r="L654" i="8"/>
  <c r="L655" i="8"/>
  <c r="L656" i="8"/>
  <c r="L657" i="8"/>
  <c r="L658" i="8"/>
  <c r="L660" i="8"/>
  <c r="L661" i="8"/>
  <c r="L663" i="8"/>
  <c r="L664" i="8"/>
  <c r="L665" i="8"/>
  <c r="L670" i="8"/>
  <c r="L671" i="8"/>
  <c r="L672" i="8"/>
  <c r="L673" i="8"/>
  <c r="L674" i="8"/>
  <c r="L677" i="8"/>
  <c r="L678" i="8"/>
  <c r="L681" i="8"/>
  <c r="L682" i="8"/>
  <c r="L683" i="8"/>
  <c r="L684" i="8"/>
  <c r="L685" i="8"/>
  <c r="L2" i="8"/>
  <c r="K687" i="8"/>
  <c r="L687" i="8" s="1"/>
  <c r="K686" i="8"/>
  <c r="L686" i="8" s="1"/>
  <c r="K685" i="8"/>
  <c r="K684" i="8"/>
  <c r="K682" i="8"/>
  <c r="K681" i="8"/>
  <c r="K680" i="8"/>
  <c r="L680" i="8" s="1"/>
  <c r="K679" i="8"/>
  <c r="L679" i="8" s="1"/>
  <c r="K676" i="8"/>
  <c r="L676" i="8" s="1"/>
  <c r="K675" i="8"/>
  <c r="L675" i="8" s="1"/>
  <c r="K674" i="8"/>
  <c r="K671" i="8"/>
  <c r="K669" i="8"/>
  <c r="L669" i="8" s="1"/>
  <c r="K668" i="8"/>
  <c r="L668" i="8" s="1"/>
  <c r="K667" i="8"/>
  <c r="L667" i="8" s="1"/>
  <c r="K666" i="8"/>
  <c r="L666" i="8" s="1"/>
  <c r="K662" i="8"/>
  <c r="L662" i="8" s="1"/>
  <c r="K659" i="8"/>
  <c r="L659" i="8" s="1"/>
  <c r="K657" i="8"/>
  <c r="K656" i="8"/>
  <c r="K653" i="8"/>
  <c r="K652" i="8"/>
  <c r="K647" i="8"/>
  <c r="L647" i="8" s="1"/>
  <c r="K646" i="8"/>
  <c r="L646" i="8" s="1"/>
  <c r="K645" i="8"/>
  <c r="L645" i="8" s="1"/>
  <c r="K644" i="8"/>
  <c r="L644" i="8" s="1"/>
  <c r="K641" i="8"/>
  <c r="K638" i="8"/>
  <c r="K637" i="8"/>
  <c r="L637" i="8" s="1"/>
  <c r="K635" i="8"/>
  <c r="L635" i="8" s="1"/>
  <c r="K627" i="8"/>
  <c r="L627" i="8" s="1"/>
  <c r="K623" i="8"/>
  <c r="K620" i="8"/>
  <c r="L620" i="8" s="1"/>
  <c r="K618" i="8"/>
  <c r="L618" i="8" s="1"/>
  <c r="K610" i="8"/>
  <c r="K608" i="8"/>
  <c r="K603" i="8"/>
  <c r="L603" i="8" s="1"/>
  <c r="K600" i="8"/>
  <c r="L600" i="8" s="1"/>
  <c r="K595" i="8"/>
  <c r="L595" i="8" s="1"/>
  <c r="K589" i="8"/>
  <c r="K587" i="8"/>
  <c r="L587" i="8" s="1"/>
  <c r="K586" i="8"/>
  <c r="L586" i="8" s="1"/>
  <c r="K585" i="8"/>
  <c r="L585" i="8" s="1"/>
  <c r="K582" i="8"/>
  <c r="L582" i="8" s="1"/>
  <c r="K578" i="8"/>
  <c r="K577" i="8"/>
  <c r="K576" i="8"/>
  <c r="L576" i="8" s="1"/>
  <c r="K574" i="8"/>
  <c r="K568" i="8"/>
  <c r="L568" i="8" s="1"/>
  <c r="K563" i="8"/>
  <c r="L563" i="8" s="1"/>
  <c r="K562" i="8"/>
  <c r="K561" i="8"/>
  <c r="K559" i="8"/>
  <c r="K558" i="8"/>
  <c r="K557" i="8"/>
  <c r="K556" i="8"/>
  <c r="K555" i="8"/>
  <c r="L555" i="8" s="1"/>
  <c r="K554" i="8"/>
  <c r="L554" i="8" s="1"/>
  <c r="K553" i="8"/>
  <c r="L553" i="8" s="1"/>
  <c r="K552" i="8"/>
  <c r="L552" i="8" s="1"/>
  <c r="K549" i="8"/>
  <c r="L549" i="8" s="1"/>
  <c r="K547" i="8"/>
  <c r="L547" i="8" s="1"/>
  <c r="K546" i="8"/>
  <c r="K544" i="8"/>
  <c r="L544" i="8" s="1"/>
  <c r="K539" i="8"/>
  <c r="L539" i="8" s="1"/>
  <c r="K537" i="8"/>
  <c r="L537" i="8" s="1"/>
  <c r="K535" i="8"/>
  <c r="L535" i="8" s="1"/>
  <c r="K532" i="8"/>
  <c r="L532" i="8" s="1"/>
  <c r="K529" i="8"/>
  <c r="K526" i="8"/>
  <c r="K521" i="8"/>
  <c r="L521" i="8" s="1"/>
  <c r="K515" i="8"/>
  <c r="L515" i="8" s="1"/>
  <c r="K512" i="8"/>
  <c r="K508" i="8"/>
  <c r="K506" i="8"/>
  <c r="L506" i="8" s="1"/>
  <c r="K505" i="8"/>
  <c r="L505" i="8" s="1"/>
  <c r="K504" i="8"/>
  <c r="L504" i="8" s="1"/>
  <c r="K494" i="8"/>
  <c r="L494" i="8" s="1"/>
  <c r="K490" i="8"/>
  <c r="L490" i="8" s="1"/>
  <c r="K487" i="8"/>
  <c r="L487" i="8" s="1"/>
  <c r="K482" i="8"/>
  <c r="K476" i="8"/>
  <c r="L476" i="8" s="1"/>
  <c r="K470" i="8"/>
  <c r="L470" i="8" s="1"/>
  <c r="K467" i="8"/>
  <c r="L467" i="8" s="1"/>
  <c r="K456" i="8"/>
  <c r="L456" i="8" s="1"/>
  <c r="K454" i="8"/>
  <c r="L454" i="8" s="1"/>
  <c r="K453" i="8"/>
  <c r="L453" i="8" s="1"/>
  <c r="K451" i="8"/>
  <c r="L451" i="8" s="1"/>
  <c r="K449" i="8"/>
  <c r="K447" i="8"/>
  <c r="K446" i="8"/>
  <c r="K441" i="8"/>
  <c r="L441" i="8" s="1"/>
  <c r="K432" i="8"/>
  <c r="L432" i="8" s="1"/>
  <c r="K409" i="8"/>
  <c r="L409" i="8" s="1"/>
  <c r="K404" i="8"/>
  <c r="L404" i="8" s="1"/>
  <c r="K402" i="8"/>
  <c r="K401" i="8"/>
  <c r="L401" i="8" s="1"/>
  <c r="K397" i="8"/>
  <c r="L397" i="8" s="1"/>
  <c r="K394" i="8"/>
  <c r="L394" i="8" s="1"/>
  <c r="K392" i="8"/>
  <c r="L392" i="8" s="1"/>
  <c r="K387" i="8"/>
  <c r="L387" i="8" s="1"/>
  <c r="K374" i="8"/>
  <c r="L374" i="8" s="1"/>
  <c r="K372" i="8"/>
  <c r="L372" i="8" s="1"/>
  <c r="K369" i="8"/>
  <c r="K361" i="8"/>
  <c r="L361" i="8" s="1"/>
  <c r="K353" i="8"/>
  <c r="K351" i="8"/>
  <c r="K338" i="8"/>
  <c r="K330" i="8"/>
  <c r="L330" i="8" s="1"/>
  <c r="K327" i="8"/>
  <c r="L327" i="8" s="1"/>
  <c r="K322" i="8"/>
  <c r="K318" i="8"/>
  <c r="L318" i="8" s="1"/>
  <c r="K313" i="8"/>
  <c r="L313" i="8" s="1"/>
  <c r="K308" i="8"/>
  <c r="L308" i="8" s="1"/>
  <c r="K298" i="8"/>
  <c r="L298" i="8" s="1"/>
  <c r="K295" i="8"/>
  <c r="L295" i="8" s="1"/>
  <c r="K289" i="8"/>
  <c r="K285" i="8"/>
  <c r="L285" i="8" s="1"/>
  <c r="K284" i="8"/>
  <c r="L284" i="8" s="1"/>
  <c r="K281" i="8"/>
  <c r="L281" i="8" s="1"/>
  <c r="K280" i="8"/>
  <c r="L280" i="8" s="1"/>
  <c r="K271" i="8"/>
  <c r="K265" i="8"/>
  <c r="L265" i="8" s="1"/>
  <c r="K264" i="8"/>
  <c r="L264" i="8" s="1"/>
  <c r="K262" i="8"/>
  <c r="L262" i="8" s="1"/>
  <c r="K260" i="8"/>
  <c r="L260" i="8" s="1"/>
  <c r="K242" i="8"/>
  <c r="K241" i="8"/>
  <c r="K240" i="8"/>
  <c r="L240" i="8" s="1"/>
  <c r="K239" i="8"/>
  <c r="L239" i="8" s="1"/>
  <c r="K238" i="8"/>
  <c r="K237" i="8"/>
  <c r="L237" i="8" s="1"/>
  <c r="K235" i="8"/>
  <c r="L235" i="8" s="1"/>
  <c r="K233" i="8"/>
  <c r="L233" i="8" s="1"/>
  <c r="K232" i="8"/>
  <c r="L232" i="8" s="1"/>
  <c r="K227" i="8"/>
  <c r="L227" i="8" s="1"/>
  <c r="K219" i="8"/>
  <c r="L219" i="8" s="1"/>
  <c r="K218" i="8"/>
  <c r="L218" i="8" s="1"/>
  <c r="K212" i="8"/>
  <c r="L212" i="8" s="1"/>
  <c r="K207" i="8"/>
  <c r="K201" i="8"/>
  <c r="L201" i="8" s="1"/>
  <c r="K196" i="8"/>
  <c r="L196" i="8" s="1"/>
  <c r="K193" i="8"/>
  <c r="K189" i="8"/>
  <c r="L189" i="8" s="1"/>
  <c r="K186" i="8"/>
  <c r="L186" i="8" s="1"/>
  <c r="K184" i="8"/>
  <c r="L184" i="8" s="1"/>
  <c r="K183" i="8"/>
  <c r="L183" i="8" s="1"/>
  <c r="K181" i="8"/>
  <c r="L181" i="8" s="1"/>
  <c r="K179" i="8"/>
  <c r="L179" i="8" s="1"/>
  <c r="K173" i="8"/>
  <c r="L173" i="8" s="1"/>
  <c r="K168" i="8"/>
  <c r="L168" i="8" s="1"/>
  <c r="K164" i="8"/>
  <c r="L164" i="8" s="1"/>
  <c r="K163" i="8"/>
  <c r="L163" i="8" s="1"/>
  <c r="K141" i="8"/>
  <c r="L141" i="8" s="1"/>
  <c r="K137" i="8"/>
  <c r="L137" i="8" s="1"/>
  <c r="K131" i="8"/>
  <c r="L131" i="8" s="1"/>
  <c r="K112" i="8"/>
  <c r="L112" i="8" s="1"/>
  <c r="K103" i="8"/>
  <c r="L103" i="8" s="1"/>
  <c r="K95" i="8"/>
  <c r="L95" i="8" s="1"/>
  <c r="K82" i="8"/>
  <c r="K80" i="8"/>
  <c r="L80" i="8" s="1"/>
  <c r="K77" i="8"/>
  <c r="L77" i="8" s="1"/>
  <c r="K76" i="8"/>
  <c r="L76" i="8" s="1"/>
  <c r="K71" i="8"/>
  <c r="L71" i="8" s="1"/>
  <c r="K65" i="8"/>
  <c r="K61" i="8"/>
  <c r="L61" i="8" s="1"/>
  <c r="K38" i="8"/>
  <c r="L38" i="8" s="1"/>
  <c r="K28" i="8"/>
  <c r="L28" i="8" s="1"/>
  <c r="K25" i="8"/>
  <c r="L25" i="8" s="1"/>
  <c r="K24" i="8"/>
  <c r="L24" i="8" s="1"/>
  <c r="K22" i="8"/>
  <c r="L22" i="8" s="1"/>
  <c r="K19" i="8"/>
  <c r="L19" i="8" s="1"/>
  <c r="K16" i="8"/>
  <c r="L16" i="8" s="1"/>
  <c r="K15" i="8"/>
  <c r="L15" i="8" s="1"/>
  <c r="K13" i="8"/>
  <c r="L13" i="8" s="1"/>
  <c r="K11" i="8"/>
  <c r="L11" i="8" s="1"/>
  <c r="K8" i="8"/>
  <c r="L8" i="8" s="1"/>
  <c r="K6" i="8"/>
  <c r="L6" i="8" s="1"/>
  <c r="K3" i="8"/>
  <c r="L3" i="8" s="1"/>
  <c r="G4" i="7"/>
  <c r="G5" i="7" s="1"/>
  <c r="G6" i="7" s="1"/>
  <c r="G7" i="7" s="1"/>
  <c r="G8" i="7" s="1"/>
  <c r="G9" i="7" s="1"/>
  <c r="G10" i="7" s="1"/>
  <c r="G11" i="7" s="1"/>
  <c r="G12" i="7" s="1"/>
  <c r="G13" i="7" s="1"/>
  <c r="G14" i="7" s="1"/>
  <c r="G15" i="7" s="1"/>
  <c r="G16" i="7" s="1"/>
  <c r="G17" i="7" s="1"/>
  <c r="G18" i="7" s="1"/>
  <c r="G19" i="7" s="1"/>
  <c r="G20" i="7" s="1"/>
  <c r="G21" i="7" s="1"/>
  <c r="G22" i="7" s="1"/>
  <c r="G23" i="7" s="1"/>
  <c r="G24" i="7" s="1"/>
  <c r="G25" i="7" s="1"/>
  <c r="G26" i="7" s="1"/>
  <c r="G27" i="7" s="1"/>
  <c r="G28" i="7" s="1"/>
  <c r="G29" i="7" s="1"/>
  <c r="G30" i="7" s="1"/>
  <c r="G31" i="7" s="1"/>
  <c r="G32" i="7" s="1"/>
  <c r="G33" i="7" s="1"/>
  <c r="G34" i="7" s="1"/>
  <c r="G35" i="7" s="1"/>
  <c r="G36" i="7" s="1"/>
  <c r="G37" i="7" s="1"/>
  <c r="G38" i="7" s="1"/>
  <c r="G39" i="7" s="1"/>
  <c r="G40" i="7" s="1"/>
  <c r="G41" i="7" s="1"/>
  <c r="G42" i="7" s="1"/>
  <c r="G43" i="7" s="1"/>
  <c r="G44" i="7" s="1"/>
  <c r="G45" i="7" s="1"/>
  <c r="G46" i="7" s="1"/>
  <c r="G47" i="7" s="1"/>
  <c r="G48" i="7" s="1"/>
  <c r="G49" i="7" s="1"/>
  <c r="G50" i="7" s="1"/>
  <c r="G51" i="7" s="1"/>
  <c r="G52" i="7" s="1"/>
  <c r="G53" i="7" s="1"/>
  <c r="G54" i="7" s="1"/>
  <c r="G55" i="7" s="1"/>
  <c r="G56" i="7" s="1"/>
  <c r="G57" i="7" s="1"/>
  <c r="G58" i="7" s="1"/>
  <c r="G59" i="7" s="1"/>
  <c r="G60" i="7" s="1"/>
  <c r="G61" i="7" s="1"/>
  <c r="G62" i="7" s="1"/>
  <c r="G63" i="7" s="1"/>
  <c r="G64" i="7" s="1"/>
  <c r="G65" i="7" s="1"/>
  <c r="G66" i="7" s="1"/>
  <c r="G67" i="7" s="1"/>
  <c r="G68" i="7" s="1"/>
  <c r="G69" i="7" s="1"/>
  <c r="G70" i="7" s="1"/>
  <c r="G71" i="7" s="1"/>
  <c r="G72" i="7" s="1"/>
  <c r="G73" i="7" s="1"/>
  <c r="G74" i="7" s="1"/>
  <c r="G75" i="7" s="1"/>
  <c r="G76" i="7" s="1"/>
  <c r="G77" i="7" s="1"/>
  <c r="G78" i="7" s="1"/>
  <c r="G79" i="7" s="1"/>
  <c r="G80" i="7" s="1"/>
  <c r="G81" i="7" s="1"/>
  <c r="G82" i="7" s="1"/>
  <c r="G83" i="7" s="1"/>
  <c r="G84" i="7" s="1"/>
  <c r="G85" i="7" s="1"/>
  <c r="G86" i="7" s="1"/>
  <c r="G87" i="7" s="1"/>
  <c r="G88" i="7" s="1"/>
  <c r="G89" i="7" s="1"/>
  <c r="G90" i="7" s="1"/>
  <c r="G91" i="7" s="1"/>
  <c r="G92" i="7" s="1"/>
  <c r="G93" i="7" s="1"/>
  <c r="G94" i="7" s="1"/>
  <c r="G95" i="7" s="1"/>
  <c r="G96" i="7" s="1"/>
  <c r="G97" i="7" s="1"/>
  <c r="G98" i="7" s="1"/>
  <c r="G99" i="7" s="1"/>
  <c r="G100" i="7" s="1"/>
  <c r="G101" i="7" s="1"/>
  <c r="G102" i="7" s="1"/>
  <c r="G103" i="7" s="1"/>
  <c r="G104" i="7" s="1"/>
  <c r="G105" i="7" s="1"/>
  <c r="G106" i="7" s="1"/>
  <c r="G107" i="7" s="1"/>
  <c r="G108" i="7" s="1"/>
  <c r="G109" i="7" s="1"/>
  <c r="G110" i="7" s="1"/>
  <c r="G111" i="7" s="1"/>
  <c r="G112" i="7" s="1"/>
  <c r="G113" i="7" s="1"/>
  <c r="G114" i="7" s="1"/>
  <c r="G115" i="7" s="1"/>
  <c r="G116" i="7" s="1"/>
  <c r="G117" i="7" s="1"/>
  <c r="G118" i="7" s="1"/>
  <c r="G119" i="7" s="1"/>
  <c r="G120" i="7" s="1"/>
  <c r="G121" i="7" s="1"/>
  <c r="G122" i="7" s="1"/>
  <c r="G123" i="7" s="1"/>
  <c r="G124" i="7" s="1"/>
  <c r="G125" i="7" s="1"/>
  <c r="G126" i="7" s="1"/>
  <c r="G127" i="7" s="1"/>
  <c r="G128" i="7" s="1"/>
  <c r="G129" i="7" s="1"/>
  <c r="G130" i="7" s="1"/>
  <c r="G131" i="7" s="1"/>
  <c r="G132" i="7" s="1"/>
  <c r="G133" i="7" s="1"/>
  <c r="G134" i="7" s="1"/>
  <c r="G135" i="7" s="1"/>
  <c r="G136" i="7" s="1"/>
  <c r="G137" i="7" s="1"/>
  <c r="G138" i="7" s="1"/>
  <c r="G139" i="7" s="1"/>
  <c r="G140" i="7" s="1"/>
  <c r="G141" i="7" s="1"/>
  <c r="G142" i="7" s="1"/>
  <c r="G143" i="7" s="1"/>
  <c r="G144" i="7" s="1"/>
  <c r="G145" i="7" s="1"/>
  <c r="G146" i="7" s="1"/>
  <c r="G147" i="7" s="1"/>
  <c r="G148" i="7" s="1"/>
  <c r="G149" i="7" s="1"/>
  <c r="G150" i="7" s="1"/>
  <c r="G151" i="7" s="1"/>
  <c r="G152" i="7" s="1"/>
  <c r="G153" i="7" s="1"/>
  <c r="G154" i="7" s="1"/>
  <c r="G155" i="7" s="1"/>
  <c r="G156" i="7" s="1"/>
  <c r="G157" i="7" s="1"/>
  <c r="G158" i="7" s="1"/>
  <c r="G159" i="7" s="1"/>
  <c r="G160" i="7" s="1"/>
  <c r="G161" i="7" s="1"/>
  <c r="G162" i="7" s="1"/>
  <c r="G163" i="7" s="1"/>
  <c r="G164" i="7" s="1"/>
  <c r="G165" i="7" s="1"/>
  <c r="G166" i="7" s="1"/>
  <c r="G167" i="7" s="1"/>
  <c r="G168" i="7" s="1"/>
  <c r="G169" i="7" s="1"/>
  <c r="G170" i="7" s="1"/>
  <c r="G171" i="7" s="1"/>
  <c r="G172" i="7" s="1"/>
  <c r="G173" i="7" s="1"/>
  <c r="G174" i="7" s="1"/>
  <c r="G175" i="7" s="1"/>
  <c r="G176" i="7" s="1"/>
  <c r="G177" i="7" s="1"/>
  <c r="G178" i="7" s="1"/>
  <c r="G179" i="7" s="1"/>
  <c r="G180" i="7" s="1"/>
  <c r="G181" i="7" s="1"/>
  <c r="G182" i="7" s="1"/>
  <c r="G183" i="7" s="1"/>
  <c r="G184" i="7" s="1"/>
  <c r="G185" i="7" s="1"/>
  <c r="G186" i="7" s="1"/>
  <c r="G187" i="7" s="1"/>
  <c r="G188" i="7" s="1"/>
  <c r="G189" i="7" s="1"/>
  <c r="G190" i="7" s="1"/>
  <c r="G191" i="7" s="1"/>
  <c r="G192" i="7" s="1"/>
  <c r="G193" i="7" s="1"/>
  <c r="G194" i="7" s="1"/>
  <c r="G195" i="7" s="1"/>
  <c r="G196" i="7" s="1"/>
  <c r="G197" i="7" s="1"/>
  <c r="G198" i="7" s="1"/>
  <c r="G199" i="7" s="1"/>
  <c r="G200" i="7" s="1"/>
  <c r="G201" i="7" s="1"/>
  <c r="G202" i="7" s="1"/>
  <c r="G203" i="7" s="1"/>
  <c r="G204" i="7" s="1"/>
  <c r="G205" i="7" s="1"/>
  <c r="G206" i="7" s="1"/>
  <c r="G207" i="7" s="1"/>
  <c r="G208" i="7" s="1"/>
  <c r="G209" i="7" s="1"/>
  <c r="G210" i="7" s="1"/>
  <c r="G211" i="7" s="1"/>
  <c r="G212" i="7" s="1"/>
  <c r="G213" i="7" s="1"/>
  <c r="G214" i="7" s="1"/>
  <c r="G215" i="7" s="1"/>
  <c r="G216" i="7" s="1"/>
  <c r="G217" i="7" s="1"/>
  <c r="G218" i="7" s="1"/>
  <c r="G219" i="7" s="1"/>
  <c r="G220" i="7" s="1"/>
  <c r="G221" i="7" s="1"/>
  <c r="G222" i="7" s="1"/>
  <c r="G223" i="7" s="1"/>
  <c r="G224" i="7" s="1"/>
  <c r="G225" i="7" s="1"/>
  <c r="G226" i="7" s="1"/>
  <c r="G227" i="7" s="1"/>
  <c r="G228" i="7" s="1"/>
  <c r="G229" i="7" s="1"/>
  <c r="G230" i="7" s="1"/>
  <c r="G231" i="7" s="1"/>
  <c r="G232" i="7" s="1"/>
  <c r="G233" i="7" s="1"/>
  <c r="G234" i="7" s="1"/>
  <c r="G235" i="7" s="1"/>
  <c r="G236" i="7" s="1"/>
  <c r="G237" i="7" s="1"/>
  <c r="G238" i="7" s="1"/>
  <c r="G239" i="7" s="1"/>
  <c r="G240" i="7" s="1"/>
  <c r="G241" i="7" s="1"/>
  <c r="G242" i="7" s="1"/>
  <c r="G243" i="7" s="1"/>
  <c r="G244" i="7" s="1"/>
  <c r="G245" i="7" s="1"/>
  <c r="G246" i="7" s="1"/>
  <c r="G247" i="7" s="1"/>
  <c r="G248" i="7" s="1"/>
  <c r="G249" i="7" s="1"/>
  <c r="G250" i="7" s="1"/>
  <c r="G251" i="7" s="1"/>
  <c r="G252" i="7" s="1"/>
  <c r="G253" i="7" s="1"/>
  <c r="G254" i="7" s="1"/>
  <c r="G255" i="7" s="1"/>
  <c r="G256" i="7" s="1"/>
  <c r="G257" i="7" s="1"/>
  <c r="G258" i="7" s="1"/>
  <c r="G259" i="7" s="1"/>
  <c r="G260" i="7" s="1"/>
  <c r="G261" i="7" s="1"/>
  <c r="G262" i="7" s="1"/>
  <c r="G263" i="7" s="1"/>
  <c r="G264" i="7" s="1"/>
  <c r="G265" i="7" s="1"/>
  <c r="G266" i="7" s="1"/>
  <c r="G267" i="7" s="1"/>
  <c r="G268" i="7" s="1"/>
  <c r="G269" i="7" s="1"/>
  <c r="G270" i="7" s="1"/>
  <c r="G271" i="7" s="1"/>
  <c r="G272" i="7" s="1"/>
  <c r="G273" i="7" s="1"/>
  <c r="G274" i="7" s="1"/>
  <c r="G275" i="7" s="1"/>
  <c r="G276" i="7" s="1"/>
  <c r="G277" i="7" s="1"/>
  <c r="G278" i="7" s="1"/>
  <c r="G279" i="7" s="1"/>
  <c r="G280" i="7" s="1"/>
  <c r="G281" i="7" s="1"/>
  <c r="G282" i="7" s="1"/>
  <c r="G283" i="7" s="1"/>
  <c r="G284" i="7" s="1"/>
  <c r="G285" i="7" s="1"/>
  <c r="G286" i="7" s="1"/>
  <c r="G287" i="7" s="1"/>
  <c r="G288" i="7" s="1"/>
  <c r="G289" i="7" s="1"/>
  <c r="G290" i="7" s="1"/>
  <c r="G291" i="7" s="1"/>
  <c r="G292" i="7" s="1"/>
  <c r="G293" i="7" s="1"/>
  <c r="G294" i="7" s="1"/>
  <c r="G295" i="7" s="1"/>
  <c r="G296" i="7" s="1"/>
  <c r="G297" i="7" s="1"/>
  <c r="G298" i="7" s="1"/>
  <c r="G299" i="7" s="1"/>
  <c r="G300" i="7" s="1"/>
  <c r="G301" i="7" s="1"/>
  <c r="G302" i="7" s="1"/>
  <c r="G303" i="7" s="1"/>
  <c r="G304" i="7" s="1"/>
  <c r="G305" i="7" s="1"/>
  <c r="G306" i="7" s="1"/>
  <c r="G307" i="7" s="1"/>
  <c r="G308" i="7" s="1"/>
  <c r="G309" i="7" s="1"/>
  <c r="G310" i="7" s="1"/>
  <c r="G311" i="7" s="1"/>
  <c r="G312" i="7" s="1"/>
  <c r="G313" i="7" s="1"/>
  <c r="G314" i="7" s="1"/>
  <c r="G315" i="7" s="1"/>
  <c r="G316" i="7" s="1"/>
  <c r="G317" i="7" s="1"/>
  <c r="G318" i="7" s="1"/>
  <c r="G319" i="7" s="1"/>
  <c r="G320" i="7" s="1"/>
  <c r="G321" i="7" s="1"/>
  <c r="G322" i="7" s="1"/>
  <c r="G323" i="7" s="1"/>
  <c r="G324" i="7" s="1"/>
  <c r="G325" i="7" s="1"/>
  <c r="G326" i="7" s="1"/>
  <c r="G327" i="7" s="1"/>
  <c r="G328" i="7" s="1"/>
  <c r="G329" i="7" s="1"/>
  <c r="G330" i="7" s="1"/>
  <c r="G331" i="7" s="1"/>
  <c r="G332" i="7" s="1"/>
  <c r="G333" i="7" s="1"/>
  <c r="G334" i="7" s="1"/>
  <c r="G335" i="7" s="1"/>
  <c r="G336" i="7" s="1"/>
  <c r="G337" i="7" s="1"/>
  <c r="G338" i="7" s="1"/>
  <c r="G339" i="7" s="1"/>
  <c r="G340" i="7" s="1"/>
  <c r="G341" i="7" s="1"/>
  <c r="G342" i="7" s="1"/>
  <c r="G343" i="7" s="1"/>
  <c r="G344" i="7" s="1"/>
  <c r="G345" i="7" s="1"/>
  <c r="G346" i="7" s="1"/>
  <c r="G347" i="7" s="1"/>
  <c r="G348" i="7" s="1"/>
  <c r="G349" i="7" s="1"/>
  <c r="G350" i="7" s="1"/>
  <c r="G351" i="7" s="1"/>
  <c r="G352" i="7" s="1"/>
  <c r="G353" i="7" s="1"/>
  <c r="G354" i="7" s="1"/>
  <c r="G355" i="7" s="1"/>
  <c r="G356" i="7" s="1"/>
  <c r="G357" i="7" s="1"/>
  <c r="G358" i="7" s="1"/>
  <c r="G3" i="7"/>
  <c r="G2" i="7"/>
  <c r="L6" i="7"/>
  <c r="L11" i="7"/>
  <c r="L12" i="7"/>
  <c r="L16" i="7"/>
  <c r="L17" i="7"/>
  <c r="L18" i="7"/>
  <c r="L19" i="7"/>
  <c r="L24" i="7"/>
  <c r="L25" i="7"/>
  <c r="L26" i="7"/>
  <c r="L27" i="7"/>
  <c r="L28" i="7"/>
  <c r="L29" i="7"/>
  <c r="L30" i="7"/>
  <c r="L31" i="7"/>
  <c r="L32" i="7"/>
  <c r="L33" i="7"/>
  <c r="L34" i="7"/>
  <c r="L35" i="7"/>
  <c r="L38" i="7"/>
  <c r="L39" i="7"/>
  <c r="L40" i="7"/>
  <c r="L41" i="7"/>
  <c r="L46" i="7"/>
  <c r="L47" i="7"/>
  <c r="L48" i="7"/>
  <c r="L49" i="7"/>
  <c r="L50" i="7"/>
  <c r="L53" i="7"/>
  <c r="L55" i="7"/>
  <c r="L56" i="7"/>
  <c r="L57" i="7"/>
  <c r="L58" i="7"/>
  <c r="L59" i="7"/>
  <c r="L60" i="7"/>
  <c r="L61" i="7"/>
  <c r="L62" i="7"/>
  <c r="L63" i="7"/>
  <c r="L64" i="7"/>
  <c r="L65" i="7"/>
  <c r="L66" i="7"/>
  <c r="L67" i="7"/>
  <c r="L68" i="7"/>
  <c r="L70" i="7"/>
  <c r="L72" i="7"/>
  <c r="L73" i="7"/>
  <c r="L74" i="7"/>
  <c r="L75" i="7"/>
  <c r="L76" i="7"/>
  <c r="L77" i="7"/>
  <c r="L78" i="7"/>
  <c r="L79" i="7"/>
  <c r="L80" i="7"/>
  <c r="L81" i="7"/>
  <c r="L82" i="7"/>
  <c r="L83" i="7"/>
  <c r="L84" i="7"/>
  <c r="L85" i="7"/>
  <c r="L87" i="7"/>
  <c r="L88" i="7"/>
  <c r="L90" i="7"/>
  <c r="L91" i="7"/>
  <c r="L92" i="7"/>
  <c r="L93" i="7"/>
  <c r="L95" i="7"/>
  <c r="L96" i="7"/>
  <c r="L97" i="7"/>
  <c r="L98" i="7"/>
  <c r="L99" i="7"/>
  <c r="L101" i="7"/>
  <c r="L105" i="7"/>
  <c r="L106" i="7"/>
  <c r="L108" i="7"/>
  <c r="L109" i="7"/>
  <c r="L110" i="7"/>
  <c r="L111" i="7"/>
  <c r="L112" i="7"/>
  <c r="L113" i="7"/>
  <c r="L114" i="7"/>
  <c r="L116" i="7"/>
  <c r="L117" i="7"/>
  <c r="L118" i="7"/>
  <c r="L119" i="7"/>
  <c r="L120" i="7"/>
  <c r="L122" i="7"/>
  <c r="L123" i="7"/>
  <c r="L124" i="7"/>
  <c r="L125" i="7"/>
  <c r="L126" i="7"/>
  <c r="L127" i="7"/>
  <c r="L128" i="7"/>
  <c r="L129" i="7"/>
  <c r="L130" i="7"/>
  <c r="L132" i="7"/>
  <c r="L134" i="7"/>
  <c r="L135" i="7"/>
  <c r="L136" i="7"/>
  <c r="L137" i="7"/>
  <c r="L139" i="7"/>
  <c r="L140" i="7"/>
  <c r="L141" i="7"/>
  <c r="L142" i="7"/>
  <c r="L143" i="7"/>
  <c r="L145" i="7"/>
  <c r="L146" i="7"/>
  <c r="L147" i="7"/>
  <c r="L149" i="7"/>
  <c r="L152" i="7"/>
  <c r="L153" i="7"/>
  <c r="L154" i="7"/>
  <c r="L155" i="7"/>
  <c r="L156" i="7"/>
  <c r="L157" i="7"/>
  <c r="L158" i="7"/>
  <c r="L159" i="7"/>
  <c r="L160" i="7"/>
  <c r="L161" i="7"/>
  <c r="L162" i="7"/>
  <c r="L166" i="7"/>
  <c r="L167" i="7"/>
  <c r="L168" i="7"/>
  <c r="L169" i="7"/>
  <c r="L170" i="7"/>
  <c r="L171" i="7"/>
  <c r="L172" i="7"/>
  <c r="L173" i="7"/>
  <c r="L174" i="7"/>
  <c r="L175" i="7"/>
  <c r="L176" i="7"/>
  <c r="L177" i="7"/>
  <c r="L178" i="7"/>
  <c r="L179" i="7"/>
  <c r="L181" i="7"/>
  <c r="L182" i="7"/>
  <c r="L183" i="7"/>
  <c r="L184" i="7"/>
  <c r="L186" i="7"/>
  <c r="L187" i="7"/>
  <c r="L189" i="7"/>
  <c r="L190" i="7"/>
  <c r="L192" i="7"/>
  <c r="L193" i="7"/>
  <c r="L194" i="7"/>
  <c r="L195" i="7"/>
  <c r="L196" i="7"/>
  <c r="L197" i="7"/>
  <c r="L199" i="7"/>
  <c r="L204" i="7"/>
  <c r="L205" i="7"/>
  <c r="L206" i="7"/>
  <c r="L207" i="7"/>
  <c r="L208" i="7"/>
  <c r="L209" i="7"/>
  <c r="L210" i="7"/>
  <c r="L211" i="7"/>
  <c r="L212" i="7"/>
  <c r="L214" i="7"/>
  <c r="L215" i="7"/>
  <c r="L216" i="7"/>
  <c r="L217" i="7"/>
  <c r="L218" i="7"/>
  <c r="L219" i="7"/>
  <c r="L220" i="7"/>
  <c r="L221" i="7"/>
  <c r="L222" i="7"/>
  <c r="L223" i="7"/>
  <c r="L224" i="7"/>
  <c r="L225" i="7"/>
  <c r="L227" i="7"/>
  <c r="L228" i="7"/>
  <c r="L229" i="7"/>
  <c r="L230" i="7"/>
  <c r="L233" i="7"/>
  <c r="L234" i="7"/>
  <c r="L235" i="7"/>
  <c r="L236" i="7"/>
  <c r="L238" i="7"/>
  <c r="L239" i="7"/>
  <c r="L240" i="7"/>
  <c r="L241" i="7"/>
  <c r="L242" i="7"/>
  <c r="L244" i="7"/>
  <c r="L248" i="7"/>
  <c r="L249" i="7"/>
  <c r="L250" i="7"/>
  <c r="L251" i="7"/>
  <c r="L252" i="7"/>
  <c r="L253" i="7"/>
  <c r="L254" i="7"/>
  <c r="L255" i="7"/>
  <c r="L256" i="7"/>
  <c r="L257" i="7"/>
  <c r="L258" i="7"/>
  <c r="L259" i="7"/>
  <c r="L260" i="7"/>
  <c r="L261" i="7"/>
  <c r="L262" i="7"/>
  <c r="L263" i="7"/>
  <c r="L264" i="7"/>
  <c r="L265" i="7"/>
  <c r="L266" i="7"/>
  <c r="L267" i="7"/>
  <c r="L268" i="7"/>
  <c r="L269" i="7"/>
  <c r="L270" i="7"/>
  <c r="L272" i="7"/>
  <c r="L273" i="7"/>
  <c r="L274" i="7"/>
  <c r="L276" i="7"/>
  <c r="L277" i="7"/>
  <c r="L279" i="7"/>
  <c r="L281" i="7"/>
  <c r="L284" i="7"/>
  <c r="L285" i="7"/>
  <c r="L286" i="7"/>
  <c r="L287" i="7"/>
  <c r="L288" i="7"/>
  <c r="L289" i="7"/>
  <c r="L290" i="7"/>
  <c r="L294" i="7"/>
  <c r="L295" i="7"/>
  <c r="L296" i="7"/>
  <c r="L297" i="7"/>
  <c r="L298" i="7"/>
  <c r="L299" i="7"/>
  <c r="L300" i="7"/>
  <c r="L301" i="7"/>
  <c r="L302" i="7"/>
  <c r="L303" i="7"/>
  <c r="L304" i="7"/>
  <c r="L306" i="7"/>
  <c r="L307" i="7"/>
  <c r="L309" i="7"/>
  <c r="L310" i="7"/>
  <c r="L313" i="7"/>
  <c r="L314" i="7"/>
  <c r="L315" i="7"/>
  <c r="L316" i="7"/>
  <c r="L318" i="7"/>
  <c r="L319" i="7"/>
  <c r="L320" i="7"/>
  <c r="L321" i="7"/>
  <c r="L322" i="7"/>
  <c r="L324" i="7"/>
  <c r="L325" i="7"/>
  <c r="L328" i="7"/>
  <c r="L329" i="7"/>
  <c r="L330" i="7"/>
  <c r="L331" i="7"/>
  <c r="L332" i="7"/>
  <c r="L333" i="7"/>
  <c r="L334" i="7"/>
  <c r="L335" i="7"/>
  <c r="L336" i="7"/>
  <c r="L337" i="7"/>
  <c r="L339" i="7"/>
  <c r="L341" i="7"/>
  <c r="L342" i="7"/>
  <c r="L344" i="7"/>
  <c r="L348" i="7"/>
  <c r="L349" i="7"/>
  <c r="L350" i="7"/>
  <c r="L351" i="7"/>
  <c r="L352" i="7"/>
  <c r="L353" i="7"/>
  <c r="L354" i="7"/>
  <c r="K358" i="7"/>
  <c r="L358" i="7" s="1"/>
  <c r="K357" i="7"/>
  <c r="L357" i="7" s="1"/>
  <c r="K356" i="7"/>
  <c r="L356" i="7" s="1"/>
  <c r="K355" i="7"/>
  <c r="L355" i="7" s="1"/>
  <c r="K351" i="7"/>
  <c r="K350" i="7"/>
  <c r="K347" i="7"/>
  <c r="L347" i="7" s="1"/>
  <c r="K346" i="7"/>
  <c r="L346" i="7" s="1"/>
  <c r="K345" i="7"/>
  <c r="L345" i="7" s="1"/>
  <c r="K343" i="7"/>
  <c r="L343" i="7" s="1"/>
  <c r="K340" i="7"/>
  <c r="L340" i="7" s="1"/>
  <c r="K338" i="7"/>
  <c r="L338" i="7" s="1"/>
  <c r="K336" i="7"/>
  <c r="K335" i="7"/>
  <c r="K334" i="7"/>
  <c r="K331" i="7"/>
  <c r="K330" i="7"/>
  <c r="K327" i="7"/>
  <c r="L327" i="7" s="1"/>
  <c r="K326" i="7"/>
  <c r="L326" i="7" s="1"/>
  <c r="K323" i="7"/>
  <c r="L323" i="7" s="1"/>
  <c r="K320" i="7"/>
  <c r="K319" i="7"/>
  <c r="K318" i="7"/>
  <c r="K317" i="7"/>
  <c r="L317" i="7" s="1"/>
  <c r="K312" i="7"/>
  <c r="L312" i="7" s="1"/>
  <c r="K311" i="7"/>
  <c r="L311" i="7" s="1"/>
  <c r="K308" i="7"/>
  <c r="L308" i="7" s="1"/>
  <c r="K305" i="7"/>
  <c r="L305" i="7" s="1"/>
  <c r="K302" i="7"/>
  <c r="K297" i="7"/>
  <c r="K295" i="7"/>
  <c r="K293" i="7"/>
  <c r="L293" i="7" s="1"/>
  <c r="K292" i="7"/>
  <c r="L292" i="7" s="1"/>
  <c r="K291" i="7"/>
  <c r="L291" i="7" s="1"/>
  <c r="K289" i="7"/>
  <c r="K288" i="7"/>
  <c r="K287" i="7"/>
  <c r="K284" i="7"/>
  <c r="K283" i="7"/>
  <c r="L283" i="7" s="1"/>
  <c r="K282" i="7"/>
  <c r="L282" i="7" s="1"/>
  <c r="K280" i="7"/>
  <c r="L280" i="7" s="1"/>
  <c r="K278" i="7"/>
  <c r="L278" i="7" s="1"/>
  <c r="K275" i="7"/>
  <c r="L275" i="7" s="1"/>
  <c r="K271" i="7"/>
  <c r="L271" i="7" s="1"/>
  <c r="K266" i="7"/>
  <c r="K258" i="7"/>
  <c r="K255" i="7"/>
  <c r="K254" i="7"/>
  <c r="K251" i="7"/>
  <c r="K250" i="7"/>
  <c r="K247" i="7"/>
  <c r="L247" i="7" s="1"/>
  <c r="K246" i="7"/>
  <c r="L246" i="7" s="1"/>
  <c r="K245" i="7"/>
  <c r="L245" i="7" s="1"/>
  <c r="K243" i="7"/>
  <c r="L243" i="7" s="1"/>
  <c r="K242" i="7"/>
  <c r="K240" i="7"/>
  <c r="K237" i="7"/>
  <c r="L237" i="7" s="1"/>
  <c r="K232" i="7"/>
  <c r="L232" i="7" s="1"/>
  <c r="K231" i="7"/>
  <c r="L231" i="7" s="1"/>
  <c r="K226" i="7"/>
  <c r="L226" i="7" s="1"/>
  <c r="K221" i="7"/>
  <c r="K217" i="7"/>
  <c r="K215" i="7"/>
  <c r="K213" i="7"/>
  <c r="L213" i="7" s="1"/>
  <c r="K209" i="7"/>
  <c r="K207" i="7"/>
  <c r="K205" i="7"/>
  <c r="K204" i="7"/>
  <c r="K203" i="7"/>
  <c r="L203" i="7" s="1"/>
  <c r="K202" i="7"/>
  <c r="L202" i="7" s="1"/>
  <c r="K201" i="7"/>
  <c r="L201" i="7" s="1"/>
  <c r="K200" i="7"/>
  <c r="L200" i="7" s="1"/>
  <c r="K198" i="7"/>
  <c r="L198" i="7" s="1"/>
  <c r="K191" i="7"/>
  <c r="L191" i="7" s="1"/>
  <c r="K188" i="7"/>
  <c r="L188" i="7" s="1"/>
  <c r="K185" i="7"/>
  <c r="L185" i="7" s="1"/>
  <c r="K183" i="7"/>
  <c r="K180" i="7"/>
  <c r="L180" i="7" s="1"/>
  <c r="K167" i="7"/>
  <c r="K165" i="7"/>
  <c r="L165" i="7" s="1"/>
  <c r="K164" i="7"/>
  <c r="L164" i="7" s="1"/>
  <c r="K163" i="7"/>
  <c r="L163" i="7" s="1"/>
  <c r="K162" i="7"/>
  <c r="K161" i="7"/>
  <c r="K159" i="7"/>
  <c r="K151" i="7"/>
  <c r="L151" i="7" s="1"/>
  <c r="K150" i="7"/>
  <c r="L150" i="7" s="1"/>
  <c r="K148" i="7"/>
  <c r="L148" i="7" s="1"/>
  <c r="K144" i="7"/>
  <c r="L144" i="7" s="1"/>
  <c r="K138" i="7"/>
  <c r="L138" i="7" s="1"/>
  <c r="K133" i="7"/>
  <c r="L133" i="7" s="1"/>
  <c r="K131" i="7"/>
  <c r="L131" i="7" s="1"/>
  <c r="K130" i="7"/>
  <c r="K128" i="7"/>
  <c r="K127" i="7"/>
  <c r="K126" i="7"/>
  <c r="K121" i="7"/>
  <c r="L121" i="7" s="1"/>
  <c r="K115" i="7"/>
  <c r="L115" i="7" s="1"/>
  <c r="K113" i="7"/>
  <c r="K112" i="7"/>
  <c r="K111" i="7"/>
  <c r="K107" i="7"/>
  <c r="L107" i="7" s="1"/>
  <c r="K104" i="7"/>
  <c r="L104" i="7" s="1"/>
  <c r="K103" i="7"/>
  <c r="L103" i="7" s="1"/>
  <c r="K102" i="7"/>
  <c r="L102" i="7" s="1"/>
  <c r="K100" i="7"/>
  <c r="L100" i="7" s="1"/>
  <c r="K94" i="7"/>
  <c r="L94" i="7" s="1"/>
  <c r="K89" i="7"/>
  <c r="L89" i="7" s="1"/>
  <c r="K86" i="7"/>
  <c r="L86" i="7" s="1"/>
  <c r="K81" i="7"/>
  <c r="K79" i="7"/>
  <c r="K71" i="7"/>
  <c r="L71" i="7" s="1"/>
  <c r="K69" i="7"/>
  <c r="L69" i="7" s="1"/>
  <c r="K66" i="7"/>
  <c r="K62" i="7"/>
  <c r="K54" i="7"/>
  <c r="L54" i="7" s="1"/>
  <c r="K52" i="7"/>
  <c r="L52" i="7" s="1"/>
  <c r="K51" i="7"/>
  <c r="L51" i="7" s="1"/>
  <c r="K48" i="7"/>
  <c r="K45" i="7"/>
  <c r="L45" i="7" s="1"/>
  <c r="K44" i="7"/>
  <c r="L44" i="7" s="1"/>
  <c r="K43" i="7"/>
  <c r="L43" i="7" s="1"/>
  <c r="K42" i="7"/>
  <c r="L42" i="7" s="1"/>
  <c r="K37" i="7"/>
  <c r="L37" i="7" s="1"/>
  <c r="K36" i="7"/>
  <c r="L36" i="7" s="1"/>
  <c r="K33" i="7"/>
  <c r="K32" i="7"/>
  <c r="K30" i="7"/>
  <c r="K27" i="7"/>
  <c r="K23" i="7"/>
  <c r="L23" i="7" s="1"/>
  <c r="K22" i="7"/>
  <c r="L22" i="7" s="1"/>
  <c r="K21" i="7"/>
  <c r="L21" i="7" s="1"/>
  <c r="K20" i="7"/>
  <c r="L20" i="7" s="1"/>
  <c r="K18" i="7"/>
  <c r="K15" i="7"/>
  <c r="L15" i="7" s="1"/>
  <c r="K14" i="7"/>
  <c r="L14" i="7" s="1"/>
  <c r="K13" i="7"/>
  <c r="L13" i="7" s="1"/>
  <c r="K10" i="7"/>
  <c r="L10" i="7" s="1"/>
  <c r="K9" i="7"/>
  <c r="L9" i="7" s="1"/>
  <c r="K8" i="7"/>
  <c r="L8" i="7" s="1"/>
  <c r="K7" i="7"/>
  <c r="L7" i="7" s="1"/>
  <c r="K5" i="7"/>
  <c r="L5" i="7" s="1"/>
  <c r="K4" i="7"/>
  <c r="L4" i="7" s="1"/>
  <c r="K3" i="7"/>
  <c r="L3" i="7" s="1"/>
  <c r="K2" i="7"/>
  <c r="L2" i="7" s="1"/>
  <c r="G4" i="3"/>
  <c r="G5" i="3"/>
  <c r="G6" i="3" s="1"/>
  <c r="G7" i="3" s="1"/>
  <c r="G8" i="3" s="1"/>
  <c r="G9" i="3" s="1"/>
  <c r="G10" i="3" s="1"/>
  <c r="G11" i="3" s="1"/>
  <c r="G12" i="3" s="1"/>
  <c r="G13" i="3" s="1"/>
  <c r="G14" i="3" s="1"/>
  <c r="G15" i="3" s="1"/>
  <c r="G16" i="3" s="1"/>
  <c r="G17" i="3" s="1"/>
  <c r="G18" i="3" s="1"/>
  <c r="G19" i="3" s="1"/>
  <c r="G20" i="3" s="1"/>
  <c r="G21" i="3" s="1"/>
  <c r="G22" i="3" s="1"/>
  <c r="G23" i="3" s="1"/>
  <c r="G24" i="3" s="1"/>
  <c r="G25" i="3" s="1"/>
  <c r="G26" i="3" s="1"/>
  <c r="G27" i="3" s="1"/>
  <c r="G28" i="3" s="1"/>
  <c r="G29" i="3" s="1"/>
  <c r="G30" i="3" s="1"/>
  <c r="G31" i="3" s="1"/>
  <c r="G32" i="3" s="1"/>
  <c r="G33" i="3" s="1"/>
  <c r="G34" i="3" s="1"/>
  <c r="G35" i="3" s="1"/>
  <c r="G36" i="3" s="1"/>
  <c r="G37" i="3" s="1"/>
  <c r="G38" i="3" s="1"/>
  <c r="G39" i="3" s="1"/>
  <c r="G40" i="3" s="1"/>
  <c r="G41" i="3" s="1"/>
  <c r="G42" i="3" s="1"/>
  <c r="G43" i="3" s="1"/>
  <c r="G44" i="3" s="1"/>
  <c r="G45" i="3" s="1"/>
  <c r="G46" i="3" s="1"/>
  <c r="G47" i="3" s="1"/>
  <c r="G48" i="3" s="1"/>
  <c r="G49" i="3" s="1"/>
  <c r="G50" i="3" s="1"/>
  <c r="G51" i="3" s="1"/>
  <c r="G52" i="3" s="1"/>
  <c r="G53" i="3" s="1"/>
  <c r="G54" i="3" s="1"/>
  <c r="G55" i="3" s="1"/>
  <c r="G56" i="3" s="1"/>
  <c r="G57" i="3" s="1"/>
  <c r="G58" i="3" s="1"/>
  <c r="G59" i="3" s="1"/>
  <c r="G60" i="3" s="1"/>
  <c r="G61" i="3" s="1"/>
  <c r="G62" i="3" s="1"/>
  <c r="G63" i="3" s="1"/>
  <c r="G64" i="3" s="1"/>
  <c r="G65" i="3" s="1"/>
  <c r="G66" i="3" s="1"/>
  <c r="G67" i="3" s="1"/>
  <c r="G68" i="3" s="1"/>
  <c r="G69" i="3" s="1"/>
  <c r="G70" i="3" s="1"/>
  <c r="G71" i="3" s="1"/>
  <c r="G72" i="3" s="1"/>
  <c r="G73" i="3" s="1"/>
  <c r="G74" i="3" s="1"/>
  <c r="G75" i="3" s="1"/>
  <c r="G76" i="3" s="1"/>
  <c r="G77" i="3" s="1"/>
  <c r="G78" i="3" s="1"/>
  <c r="G79" i="3" s="1"/>
  <c r="G80" i="3" s="1"/>
  <c r="G81" i="3" s="1"/>
  <c r="G82" i="3" s="1"/>
  <c r="G83" i="3" s="1"/>
  <c r="G84" i="3" s="1"/>
  <c r="G85" i="3" s="1"/>
  <c r="G86" i="3" s="1"/>
  <c r="G87" i="3" s="1"/>
  <c r="G88" i="3" s="1"/>
  <c r="G89" i="3" s="1"/>
  <c r="G90" i="3" s="1"/>
  <c r="G91" i="3" s="1"/>
  <c r="G92" i="3" s="1"/>
  <c r="G93" i="3" s="1"/>
  <c r="G94" i="3" s="1"/>
  <c r="G95" i="3" s="1"/>
  <c r="G96" i="3" s="1"/>
  <c r="G97" i="3" s="1"/>
  <c r="G98" i="3" s="1"/>
  <c r="G99" i="3" s="1"/>
  <c r="G100" i="3" s="1"/>
  <c r="G101" i="3" s="1"/>
  <c r="G102" i="3" s="1"/>
  <c r="G103" i="3" s="1"/>
  <c r="G104" i="3" s="1"/>
  <c r="G105" i="3" s="1"/>
  <c r="G106" i="3" s="1"/>
  <c r="G107" i="3" s="1"/>
  <c r="G108" i="3" s="1"/>
  <c r="G109" i="3" s="1"/>
  <c r="G110" i="3" s="1"/>
  <c r="G111" i="3" s="1"/>
  <c r="G112" i="3" s="1"/>
  <c r="G113" i="3" s="1"/>
  <c r="G114" i="3" s="1"/>
  <c r="G115" i="3" s="1"/>
  <c r="G116" i="3" s="1"/>
  <c r="G117" i="3" s="1"/>
  <c r="G118" i="3" s="1"/>
  <c r="G119" i="3" s="1"/>
  <c r="G120" i="3" s="1"/>
  <c r="G121" i="3" s="1"/>
  <c r="G122" i="3" s="1"/>
  <c r="G123" i="3" s="1"/>
  <c r="G124" i="3" s="1"/>
  <c r="G125" i="3" s="1"/>
  <c r="G126" i="3" s="1"/>
  <c r="G127" i="3" s="1"/>
  <c r="G128" i="3" s="1"/>
  <c r="G129" i="3" s="1"/>
  <c r="G130" i="3" s="1"/>
  <c r="G131" i="3" s="1"/>
  <c r="G132" i="3" s="1"/>
  <c r="G133" i="3" s="1"/>
  <c r="G134" i="3" s="1"/>
  <c r="G135" i="3" s="1"/>
  <c r="G136" i="3" s="1"/>
  <c r="G137" i="3" s="1"/>
  <c r="G138" i="3" s="1"/>
  <c r="G139" i="3" s="1"/>
  <c r="G140" i="3" s="1"/>
  <c r="G141" i="3" s="1"/>
  <c r="G142" i="3" s="1"/>
  <c r="G143" i="3" s="1"/>
  <c r="G144" i="3" s="1"/>
  <c r="G145" i="3" s="1"/>
  <c r="G146" i="3" s="1"/>
  <c r="G147" i="3" s="1"/>
  <c r="G148" i="3" s="1"/>
  <c r="G149" i="3" s="1"/>
  <c r="G150" i="3" s="1"/>
  <c r="G151" i="3" s="1"/>
  <c r="G152" i="3" s="1"/>
  <c r="G153" i="3" s="1"/>
  <c r="G154" i="3" s="1"/>
  <c r="G155" i="3" s="1"/>
  <c r="G156" i="3" s="1"/>
  <c r="G157" i="3" s="1"/>
  <c r="G158" i="3" s="1"/>
  <c r="G159" i="3" s="1"/>
  <c r="G160" i="3" s="1"/>
  <c r="G161" i="3" s="1"/>
  <c r="G162" i="3" s="1"/>
  <c r="G163" i="3" s="1"/>
  <c r="G164" i="3" s="1"/>
  <c r="G165" i="3" s="1"/>
  <c r="G166" i="3" s="1"/>
  <c r="G167" i="3" s="1"/>
  <c r="G168" i="3" s="1"/>
  <c r="G169" i="3" s="1"/>
  <c r="G170" i="3" s="1"/>
  <c r="G171" i="3" s="1"/>
  <c r="G172" i="3" s="1"/>
  <c r="G173" i="3" s="1"/>
  <c r="G174" i="3" s="1"/>
  <c r="G175" i="3" s="1"/>
  <c r="G176" i="3" s="1"/>
  <c r="G177" i="3" s="1"/>
  <c r="G178" i="3" s="1"/>
  <c r="G179" i="3" s="1"/>
  <c r="G180" i="3" s="1"/>
  <c r="G181" i="3" s="1"/>
  <c r="G182" i="3" s="1"/>
  <c r="G183" i="3" s="1"/>
  <c r="G184" i="3" s="1"/>
  <c r="G185" i="3" s="1"/>
  <c r="G186" i="3" s="1"/>
  <c r="G187" i="3" s="1"/>
  <c r="G188" i="3" s="1"/>
  <c r="G189" i="3" s="1"/>
  <c r="G190" i="3" s="1"/>
  <c r="G191" i="3" s="1"/>
  <c r="G192" i="3" s="1"/>
  <c r="G193" i="3" s="1"/>
  <c r="G194" i="3" s="1"/>
  <c r="G195" i="3" s="1"/>
  <c r="G196" i="3" s="1"/>
  <c r="G197" i="3" s="1"/>
  <c r="G198" i="3" s="1"/>
  <c r="G199" i="3" s="1"/>
  <c r="G200" i="3" s="1"/>
  <c r="G201" i="3" s="1"/>
  <c r="G202" i="3" s="1"/>
  <c r="G203" i="3" s="1"/>
  <c r="G204" i="3" s="1"/>
  <c r="G205" i="3" s="1"/>
  <c r="G206" i="3" s="1"/>
  <c r="G207" i="3" s="1"/>
  <c r="G208" i="3" s="1"/>
  <c r="G209" i="3" s="1"/>
  <c r="G210" i="3" s="1"/>
  <c r="G211" i="3" s="1"/>
  <c r="G212" i="3" s="1"/>
  <c r="G213" i="3" s="1"/>
  <c r="G214" i="3" s="1"/>
  <c r="G215" i="3" s="1"/>
  <c r="G216" i="3" s="1"/>
  <c r="G217" i="3" s="1"/>
  <c r="G218" i="3" s="1"/>
  <c r="G219" i="3" s="1"/>
  <c r="G220" i="3" s="1"/>
  <c r="G221" i="3" s="1"/>
  <c r="G222" i="3" s="1"/>
  <c r="G223" i="3" s="1"/>
  <c r="G224" i="3" s="1"/>
  <c r="G225" i="3" s="1"/>
  <c r="G226" i="3" s="1"/>
  <c r="G227" i="3" s="1"/>
  <c r="G228" i="3" s="1"/>
  <c r="G229" i="3" s="1"/>
  <c r="G230" i="3" s="1"/>
  <c r="G231" i="3" s="1"/>
  <c r="G232" i="3" s="1"/>
  <c r="G233" i="3" s="1"/>
  <c r="G234" i="3" s="1"/>
  <c r="G235" i="3" s="1"/>
  <c r="G236" i="3" s="1"/>
  <c r="G237" i="3" s="1"/>
  <c r="G238" i="3" s="1"/>
  <c r="G239" i="3" s="1"/>
  <c r="G240" i="3" s="1"/>
  <c r="G241" i="3" s="1"/>
  <c r="G242" i="3" s="1"/>
  <c r="G243" i="3" s="1"/>
  <c r="G244" i="3" s="1"/>
  <c r="G245" i="3" s="1"/>
  <c r="G246" i="3" s="1"/>
  <c r="G247" i="3" s="1"/>
  <c r="G248" i="3" s="1"/>
  <c r="G249" i="3" s="1"/>
  <c r="G250" i="3" s="1"/>
  <c r="G251" i="3" s="1"/>
  <c r="G252" i="3" s="1"/>
  <c r="G253" i="3" s="1"/>
  <c r="G254" i="3" s="1"/>
  <c r="G255" i="3" s="1"/>
  <c r="G256" i="3" s="1"/>
  <c r="G257" i="3" s="1"/>
  <c r="G258" i="3" s="1"/>
  <c r="G259" i="3" s="1"/>
  <c r="G260" i="3" s="1"/>
  <c r="G261" i="3" s="1"/>
  <c r="G262" i="3" s="1"/>
  <c r="G263" i="3" s="1"/>
  <c r="G264" i="3" s="1"/>
  <c r="G265" i="3" s="1"/>
  <c r="G266" i="3" s="1"/>
  <c r="G267" i="3" s="1"/>
  <c r="G268" i="3" s="1"/>
  <c r="G269" i="3" s="1"/>
  <c r="G270" i="3" s="1"/>
  <c r="G271" i="3" s="1"/>
  <c r="G272" i="3" s="1"/>
  <c r="G273" i="3" s="1"/>
  <c r="G274" i="3" s="1"/>
  <c r="G275" i="3" s="1"/>
  <c r="G276" i="3" s="1"/>
  <c r="G277" i="3" s="1"/>
  <c r="G278" i="3" s="1"/>
  <c r="G279" i="3" s="1"/>
  <c r="G280" i="3" s="1"/>
  <c r="G281" i="3" s="1"/>
  <c r="G282" i="3" s="1"/>
  <c r="G283" i="3" s="1"/>
  <c r="G284" i="3" s="1"/>
  <c r="G285" i="3" s="1"/>
  <c r="G286" i="3" s="1"/>
  <c r="G287" i="3" s="1"/>
  <c r="G288" i="3" s="1"/>
  <c r="G289" i="3" s="1"/>
  <c r="G290" i="3" s="1"/>
  <c r="G291" i="3" s="1"/>
  <c r="G292" i="3" s="1"/>
  <c r="G293" i="3" s="1"/>
  <c r="G294" i="3" s="1"/>
  <c r="G295" i="3" s="1"/>
  <c r="G296" i="3" s="1"/>
  <c r="G297" i="3" s="1"/>
  <c r="G298" i="3" s="1"/>
  <c r="G299" i="3" s="1"/>
  <c r="G300" i="3" s="1"/>
  <c r="G301" i="3" s="1"/>
  <c r="G302" i="3" s="1"/>
  <c r="G303" i="3" s="1"/>
  <c r="G304" i="3" s="1"/>
  <c r="G305" i="3" s="1"/>
  <c r="G306" i="3" s="1"/>
  <c r="G307" i="3" s="1"/>
  <c r="G308" i="3" s="1"/>
  <c r="G309" i="3" s="1"/>
  <c r="G310" i="3" s="1"/>
  <c r="G311" i="3" s="1"/>
  <c r="G312" i="3" s="1"/>
  <c r="G313" i="3" s="1"/>
  <c r="G314" i="3" s="1"/>
  <c r="G315" i="3" s="1"/>
  <c r="G316" i="3" s="1"/>
  <c r="G317" i="3" s="1"/>
  <c r="G318" i="3" s="1"/>
  <c r="G319" i="3" s="1"/>
  <c r="G320" i="3" s="1"/>
  <c r="G321" i="3" s="1"/>
  <c r="G322" i="3" s="1"/>
  <c r="G323" i="3" s="1"/>
  <c r="G324" i="3" s="1"/>
  <c r="G325" i="3" s="1"/>
  <c r="G326" i="3" s="1"/>
  <c r="G327" i="3" s="1"/>
  <c r="G328" i="3" s="1"/>
  <c r="G329" i="3" s="1"/>
  <c r="G330" i="3" s="1"/>
  <c r="G331" i="3" s="1"/>
  <c r="G332" i="3" s="1"/>
  <c r="G333" i="3" s="1"/>
  <c r="G334" i="3" s="1"/>
  <c r="G335" i="3" s="1"/>
  <c r="G336" i="3" s="1"/>
  <c r="G337" i="3" s="1"/>
  <c r="G338" i="3" s="1"/>
  <c r="G339" i="3" s="1"/>
  <c r="G340" i="3" s="1"/>
  <c r="G341" i="3" s="1"/>
  <c r="G342" i="3" s="1"/>
  <c r="G343" i="3" s="1"/>
  <c r="G344" i="3" s="1"/>
  <c r="G345" i="3" s="1"/>
  <c r="G346" i="3" s="1"/>
  <c r="G347" i="3" s="1"/>
  <c r="G348" i="3" s="1"/>
  <c r="G349" i="3" s="1"/>
  <c r="G350" i="3" s="1"/>
  <c r="G351" i="3" s="1"/>
  <c r="G352" i="3" s="1"/>
  <c r="G353" i="3" s="1"/>
  <c r="G354" i="3" s="1"/>
  <c r="G355" i="3" s="1"/>
  <c r="G356" i="3" s="1"/>
  <c r="G357" i="3" s="1"/>
  <c r="G358" i="3" s="1"/>
  <c r="G359" i="3" s="1"/>
  <c r="G360" i="3" s="1"/>
  <c r="G361" i="3" s="1"/>
  <c r="G362" i="3" s="1"/>
  <c r="G363" i="3" s="1"/>
  <c r="G364" i="3" s="1"/>
  <c r="G365" i="3" s="1"/>
  <c r="G366" i="3" s="1"/>
  <c r="G367" i="3" s="1"/>
  <c r="G368" i="3" s="1"/>
  <c r="G369" i="3" s="1"/>
  <c r="G370" i="3" s="1"/>
  <c r="G371" i="3" s="1"/>
  <c r="G372" i="3" s="1"/>
  <c r="G373" i="3" s="1"/>
  <c r="G374" i="3" s="1"/>
  <c r="G375" i="3" s="1"/>
  <c r="G376" i="3" s="1"/>
  <c r="G377" i="3" s="1"/>
  <c r="G378" i="3" s="1"/>
  <c r="G379" i="3" s="1"/>
  <c r="G380" i="3" s="1"/>
  <c r="G381" i="3" s="1"/>
  <c r="G382" i="3" s="1"/>
  <c r="G383" i="3" s="1"/>
  <c r="G384" i="3" s="1"/>
  <c r="G385" i="3" s="1"/>
  <c r="G386" i="3" s="1"/>
  <c r="G387" i="3" s="1"/>
  <c r="G388" i="3" s="1"/>
  <c r="G389" i="3" s="1"/>
  <c r="G390" i="3" s="1"/>
  <c r="G391" i="3" s="1"/>
  <c r="G392" i="3" s="1"/>
  <c r="G393" i="3" s="1"/>
  <c r="G394" i="3" s="1"/>
  <c r="G395" i="3" s="1"/>
  <c r="G396" i="3" s="1"/>
  <c r="G397" i="3" s="1"/>
  <c r="G398" i="3" s="1"/>
  <c r="G399" i="3" s="1"/>
  <c r="G400" i="3" s="1"/>
  <c r="G401" i="3" s="1"/>
  <c r="G402" i="3" s="1"/>
  <c r="G403" i="3" s="1"/>
  <c r="G404" i="3" s="1"/>
  <c r="G405" i="3" s="1"/>
  <c r="G406" i="3" s="1"/>
  <c r="G407" i="3" s="1"/>
  <c r="G408" i="3" s="1"/>
  <c r="G409" i="3" s="1"/>
  <c r="G410" i="3" s="1"/>
  <c r="G411" i="3" s="1"/>
  <c r="G412" i="3" s="1"/>
  <c r="G413" i="3" s="1"/>
  <c r="G414" i="3" s="1"/>
  <c r="G415" i="3" s="1"/>
  <c r="G416" i="3" s="1"/>
  <c r="G417" i="3" s="1"/>
  <c r="G418" i="3" s="1"/>
  <c r="G419" i="3" s="1"/>
  <c r="G420" i="3" s="1"/>
  <c r="G421" i="3" s="1"/>
  <c r="G422" i="3" s="1"/>
  <c r="G423" i="3" s="1"/>
  <c r="G424" i="3" s="1"/>
  <c r="G425" i="3" s="1"/>
  <c r="G426" i="3" s="1"/>
  <c r="G427" i="3" s="1"/>
  <c r="G428" i="3" s="1"/>
  <c r="G429" i="3" s="1"/>
  <c r="G430" i="3" s="1"/>
  <c r="G431" i="3" s="1"/>
  <c r="G432" i="3" s="1"/>
  <c r="G433" i="3" s="1"/>
  <c r="G434" i="3" s="1"/>
  <c r="G435" i="3" s="1"/>
  <c r="G436" i="3" s="1"/>
  <c r="G437" i="3" s="1"/>
  <c r="G438" i="3" s="1"/>
  <c r="G439" i="3" s="1"/>
  <c r="G440" i="3" s="1"/>
  <c r="G441" i="3" s="1"/>
  <c r="G442" i="3" s="1"/>
  <c r="G443" i="3" s="1"/>
  <c r="G444" i="3" s="1"/>
  <c r="G445" i="3" s="1"/>
  <c r="G446" i="3" s="1"/>
  <c r="G447" i="3" s="1"/>
  <c r="G448" i="3" s="1"/>
  <c r="G449" i="3" s="1"/>
  <c r="G450" i="3" s="1"/>
  <c r="G451" i="3" s="1"/>
  <c r="G452" i="3" s="1"/>
  <c r="G453" i="3" s="1"/>
  <c r="G454" i="3" s="1"/>
  <c r="G455" i="3" s="1"/>
  <c r="G456" i="3" s="1"/>
  <c r="G457" i="3" s="1"/>
  <c r="G458" i="3" s="1"/>
  <c r="G459" i="3" s="1"/>
  <c r="G460" i="3" s="1"/>
  <c r="G461" i="3" s="1"/>
  <c r="G462" i="3" s="1"/>
  <c r="G463" i="3" s="1"/>
  <c r="G464" i="3" s="1"/>
  <c r="G465" i="3" s="1"/>
  <c r="G466" i="3" s="1"/>
  <c r="G467" i="3" s="1"/>
  <c r="G468" i="3" s="1"/>
  <c r="G469" i="3" s="1"/>
  <c r="G470" i="3" s="1"/>
  <c r="G471" i="3" s="1"/>
  <c r="G472" i="3" s="1"/>
  <c r="G473" i="3" s="1"/>
  <c r="G474" i="3" s="1"/>
  <c r="G475" i="3" s="1"/>
  <c r="G476" i="3" s="1"/>
  <c r="G477" i="3" s="1"/>
  <c r="G478" i="3" s="1"/>
  <c r="G479" i="3" s="1"/>
  <c r="G480" i="3" s="1"/>
  <c r="G481" i="3" s="1"/>
  <c r="G482" i="3" s="1"/>
  <c r="G483" i="3" s="1"/>
  <c r="G484" i="3" s="1"/>
  <c r="G485" i="3" s="1"/>
  <c r="G486" i="3" s="1"/>
  <c r="G487" i="3" s="1"/>
  <c r="G488" i="3" s="1"/>
  <c r="G489" i="3" s="1"/>
  <c r="G490" i="3" s="1"/>
  <c r="G491" i="3" s="1"/>
  <c r="G492" i="3" s="1"/>
  <c r="G493" i="3" s="1"/>
  <c r="G494" i="3" s="1"/>
  <c r="G495" i="3" s="1"/>
  <c r="G496" i="3" s="1"/>
  <c r="G497" i="3" s="1"/>
  <c r="G498" i="3" s="1"/>
  <c r="G499" i="3" s="1"/>
  <c r="G500" i="3" s="1"/>
  <c r="G501" i="3" s="1"/>
  <c r="G502" i="3" s="1"/>
  <c r="G503" i="3" s="1"/>
  <c r="G504" i="3" s="1"/>
  <c r="G505" i="3" s="1"/>
  <c r="G506" i="3" s="1"/>
  <c r="G507" i="3" s="1"/>
  <c r="G508" i="3" s="1"/>
  <c r="G509" i="3" s="1"/>
  <c r="G510" i="3" s="1"/>
  <c r="G511" i="3" s="1"/>
  <c r="G512" i="3" s="1"/>
  <c r="G513" i="3" s="1"/>
  <c r="G514" i="3" s="1"/>
  <c r="G515" i="3" s="1"/>
  <c r="G516" i="3" s="1"/>
  <c r="G517" i="3" s="1"/>
  <c r="G518" i="3" s="1"/>
  <c r="G519" i="3" s="1"/>
  <c r="G520" i="3" s="1"/>
  <c r="G521" i="3" s="1"/>
  <c r="G522" i="3" s="1"/>
  <c r="G523" i="3" s="1"/>
  <c r="G524" i="3" s="1"/>
  <c r="G525" i="3" s="1"/>
  <c r="G526" i="3" s="1"/>
  <c r="G527" i="3" s="1"/>
  <c r="G528" i="3" s="1"/>
  <c r="G529" i="3" s="1"/>
  <c r="G530" i="3" s="1"/>
  <c r="G531" i="3" s="1"/>
  <c r="G532" i="3" s="1"/>
  <c r="G533" i="3" s="1"/>
  <c r="G534" i="3" s="1"/>
  <c r="G535" i="3" s="1"/>
  <c r="G536" i="3" s="1"/>
  <c r="G537" i="3" s="1"/>
  <c r="G538" i="3" s="1"/>
  <c r="G539" i="3" s="1"/>
  <c r="G540" i="3" s="1"/>
  <c r="G541" i="3" s="1"/>
  <c r="G542" i="3" s="1"/>
  <c r="G543" i="3" s="1"/>
  <c r="G544" i="3" s="1"/>
  <c r="G545" i="3" s="1"/>
  <c r="G546" i="3" s="1"/>
  <c r="G547" i="3" s="1"/>
  <c r="G548" i="3" s="1"/>
  <c r="G549" i="3" s="1"/>
  <c r="G550" i="3" s="1"/>
  <c r="G551" i="3" s="1"/>
  <c r="G552" i="3" s="1"/>
  <c r="G553" i="3" s="1"/>
  <c r="G554" i="3" s="1"/>
  <c r="G555" i="3" s="1"/>
  <c r="G556" i="3" s="1"/>
  <c r="G557" i="3" s="1"/>
  <c r="G558" i="3" s="1"/>
  <c r="G559" i="3" s="1"/>
  <c r="G560" i="3" s="1"/>
  <c r="G561" i="3" s="1"/>
  <c r="G562" i="3" s="1"/>
  <c r="G563" i="3" s="1"/>
  <c r="G564" i="3" s="1"/>
  <c r="G565" i="3" s="1"/>
  <c r="G566" i="3" s="1"/>
  <c r="G567" i="3" s="1"/>
  <c r="G568" i="3" s="1"/>
  <c r="G569" i="3" s="1"/>
  <c r="G570" i="3" s="1"/>
  <c r="G571" i="3" s="1"/>
  <c r="G572" i="3" s="1"/>
  <c r="G573" i="3" s="1"/>
  <c r="G574" i="3" s="1"/>
  <c r="G575" i="3" s="1"/>
  <c r="G576" i="3" s="1"/>
  <c r="G577" i="3" s="1"/>
  <c r="G578" i="3" s="1"/>
  <c r="G579" i="3" s="1"/>
  <c r="G580" i="3" s="1"/>
  <c r="G581" i="3" s="1"/>
  <c r="G582" i="3" s="1"/>
  <c r="G583" i="3" s="1"/>
  <c r="G584" i="3" s="1"/>
  <c r="G585" i="3" s="1"/>
  <c r="G586" i="3" s="1"/>
  <c r="G587" i="3" s="1"/>
  <c r="G588" i="3" s="1"/>
  <c r="G589" i="3" s="1"/>
  <c r="G590" i="3" s="1"/>
  <c r="G591" i="3" s="1"/>
  <c r="G592" i="3" s="1"/>
  <c r="G593" i="3" s="1"/>
  <c r="G594" i="3" s="1"/>
  <c r="G595" i="3" s="1"/>
  <c r="G596" i="3" s="1"/>
  <c r="G597" i="3" s="1"/>
  <c r="G598" i="3" s="1"/>
  <c r="G599" i="3" s="1"/>
  <c r="G600" i="3" s="1"/>
  <c r="G601" i="3" s="1"/>
  <c r="G602" i="3" s="1"/>
  <c r="G603" i="3" s="1"/>
  <c r="G604" i="3" s="1"/>
  <c r="G605" i="3" s="1"/>
  <c r="G606" i="3" s="1"/>
  <c r="G607" i="3" s="1"/>
  <c r="G608" i="3" s="1"/>
  <c r="G609" i="3" s="1"/>
  <c r="G610" i="3" s="1"/>
  <c r="G611" i="3" s="1"/>
  <c r="G612" i="3" s="1"/>
  <c r="G613" i="3" s="1"/>
  <c r="G614" i="3" s="1"/>
  <c r="G615" i="3" s="1"/>
  <c r="G616" i="3" s="1"/>
  <c r="G617" i="3" s="1"/>
  <c r="G618" i="3" s="1"/>
  <c r="G619" i="3" s="1"/>
  <c r="G620" i="3" s="1"/>
  <c r="G621" i="3" s="1"/>
  <c r="G622" i="3" s="1"/>
  <c r="G623" i="3" s="1"/>
  <c r="G624" i="3" s="1"/>
  <c r="G625" i="3" s="1"/>
  <c r="G626" i="3" s="1"/>
  <c r="G627" i="3" s="1"/>
  <c r="G628" i="3" s="1"/>
  <c r="G629" i="3" s="1"/>
  <c r="G630" i="3" s="1"/>
  <c r="G631" i="3" s="1"/>
  <c r="G632" i="3" s="1"/>
  <c r="G633" i="3" s="1"/>
  <c r="G634" i="3" s="1"/>
  <c r="G635" i="3" s="1"/>
  <c r="G636" i="3" s="1"/>
  <c r="G637" i="3" s="1"/>
  <c r="G638" i="3" s="1"/>
  <c r="G639" i="3" s="1"/>
  <c r="G640" i="3" s="1"/>
  <c r="G641" i="3" s="1"/>
  <c r="G642" i="3" s="1"/>
  <c r="G643" i="3" s="1"/>
  <c r="G644" i="3" s="1"/>
  <c r="G645" i="3" s="1"/>
  <c r="G646" i="3" s="1"/>
  <c r="G647" i="3" s="1"/>
  <c r="G648" i="3" s="1"/>
  <c r="G649" i="3" s="1"/>
  <c r="G650" i="3" s="1"/>
  <c r="G651" i="3" s="1"/>
  <c r="G652" i="3" s="1"/>
  <c r="G653" i="3" s="1"/>
  <c r="G654" i="3" s="1"/>
  <c r="G655" i="3" s="1"/>
  <c r="G656" i="3" s="1"/>
  <c r="G657" i="3" s="1"/>
  <c r="G658" i="3" s="1"/>
  <c r="G659" i="3" s="1"/>
  <c r="G660" i="3" s="1"/>
  <c r="G661" i="3" s="1"/>
  <c r="G662" i="3" s="1"/>
  <c r="G663" i="3" s="1"/>
  <c r="G664" i="3" s="1"/>
  <c r="G665" i="3" s="1"/>
  <c r="G666" i="3" s="1"/>
  <c r="G667" i="3" s="1"/>
  <c r="G668" i="3" s="1"/>
  <c r="G669" i="3" s="1"/>
  <c r="G670" i="3" s="1"/>
  <c r="G671" i="3" s="1"/>
  <c r="G672" i="3" s="1"/>
  <c r="G673" i="3" s="1"/>
  <c r="G674" i="3" s="1"/>
  <c r="G675" i="3" s="1"/>
  <c r="G676" i="3" s="1"/>
  <c r="G677" i="3" s="1"/>
  <c r="G678" i="3" s="1"/>
  <c r="G679" i="3" s="1"/>
  <c r="G680" i="3" s="1"/>
  <c r="G681" i="3" s="1"/>
  <c r="G682" i="3" s="1"/>
  <c r="G683" i="3" s="1"/>
  <c r="G684" i="3" s="1"/>
  <c r="G685" i="3" s="1"/>
  <c r="G686" i="3" s="1"/>
  <c r="G687" i="3" s="1"/>
  <c r="G688" i="3" s="1"/>
  <c r="G689" i="3" s="1"/>
  <c r="G690" i="3" s="1"/>
  <c r="G691" i="3" s="1"/>
  <c r="G692" i="3" s="1"/>
  <c r="G693" i="3" s="1"/>
  <c r="G694" i="3" s="1"/>
  <c r="G695" i="3" s="1"/>
  <c r="G696" i="3" s="1"/>
  <c r="G697" i="3" s="1"/>
  <c r="G698" i="3" s="1"/>
  <c r="G699" i="3" s="1"/>
  <c r="G700" i="3" s="1"/>
  <c r="G701" i="3" s="1"/>
  <c r="G702" i="3" s="1"/>
  <c r="G703" i="3" s="1"/>
  <c r="G704" i="3" s="1"/>
  <c r="G705" i="3" s="1"/>
  <c r="G706" i="3" s="1"/>
  <c r="G707" i="3" s="1"/>
  <c r="G708" i="3" s="1"/>
  <c r="G709" i="3" s="1"/>
  <c r="G710" i="3" s="1"/>
  <c r="G711" i="3" s="1"/>
  <c r="G712" i="3" s="1"/>
  <c r="G713" i="3" s="1"/>
  <c r="G714" i="3" s="1"/>
  <c r="G715" i="3" s="1"/>
  <c r="G716" i="3" s="1"/>
  <c r="G717" i="3" s="1"/>
  <c r="G718" i="3" s="1"/>
  <c r="G719" i="3" s="1"/>
  <c r="G720" i="3" s="1"/>
  <c r="G721" i="3" s="1"/>
  <c r="G722" i="3" s="1"/>
  <c r="G723" i="3" s="1"/>
  <c r="G724" i="3" s="1"/>
  <c r="G725" i="3" s="1"/>
  <c r="G726" i="3" s="1"/>
  <c r="G727" i="3" s="1"/>
  <c r="G728" i="3" s="1"/>
  <c r="G729" i="3" s="1"/>
  <c r="G730" i="3" s="1"/>
  <c r="G731" i="3" s="1"/>
  <c r="G732" i="3" s="1"/>
  <c r="G733" i="3" s="1"/>
  <c r="G734" i="3" s="1"/>
  <c r="G735" i="3" s="1"/>
  <c r="G736" i="3" s="1"/>
  <c r="G737" i="3" s="1"/>
  <c r="G738" i="3" s="1"/>
  <c r="G739" i="3" s="1"/>
  <c r="G740" i="3" s="1"/>
  <c r="G741" i="3" s="1"/>
  <c r="G742" i="3" s="1"/>
  <c r="G743" i="3" s="1"/>
  <c r="G744" i="3" s="1"/>
  <c r="G745" i="3" s="1"/>
  <c r="G746" i="3" s="1"/>
  <c r="G747" i="3" s="1"/>
  <c r="G748" i="3" s="1"/>
  <c r="G749" i="3" s="1"/>
  <c r="G750" i="3" s="1"/>
  <c r="G751" i="3" s="1"/>
  <c r="G752" i="3" s="1"/>
  <c r="G753" i="3" s="1"/>
  <c r="G754" i="3" s="1"/>
  <c r="G755" i="3" s="1"/>
  <c r="G756" i="3" s="1"/>
  <c r="G757" i="3" s="1"/>
  <c r="G758" i="3" s="1"/>
  <c r="G759" i="3" s="1"/>
  <c r="G760" i="3" s="1"/>
  <c r="G761" i="3" s="1"/>
  <c r="G762" i="3" s="1"/>
  <c r="G763" i="3" s="1"/>
  <c r="G764" i="3" s="1"/>
  <c r="G765" i="3" s="1"/>
  <c r="G766" i="3" s="1"/>
  <c r="G767" i="3" s="1"/>
  <c r="G768" i="3" s="1"/>
  <c r="G769" i="3" s="1"/>
  <c r="G770" i="3" s="1"/>
  <c r="G771" i="3" s="1"/>
  <c r="G772" i="3" s="1"/>
  <c r="G773" i="3" s="1"/>
  <c r="G774" i="3" s="1"/>
  <c r="G775" i="3" s="1"/>
  <c r="G776" i="3" s="1"/>
  <c r="G777" i="3" s="1"/>
  <c r="G778" i="3" s="1"/>
  <c r="G779" i="3" s="1"/>
  <c r="G780" i="3" s="1"/>
  <c r="G781" i="3" s="1"/>
  <c r="G782" i="3" s="1"/>
  <c r="G783" i="3" s="1"/>
  <c r="G784" i="3" s="1"/>
  <c r="G3" i="3"/>
  <c r="G2" i="3"/>
  <c r="K2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45" i="3"/>
  <c r="K46" i="3"/>
  <c r="K47" i="3"/>
  <c r="K48" i="3"/>
  <c r="K49" i="3"/>
  <c r="K50" i="3"/>
  <c r="K51" i="3"/>
  <c r="K52" i="3"/>
  <c r="K53" i="3"/>
  <c r="K54" i="3"/>
  <c r="K55" i="3"/>
  <c r="K56" i="3"/>
  <c r="K57" i="3"/>
  <c r="K58" i="3"/>
  <c r="K59" i="3"/>
  <c r="K60" i="3"/>
  <c r="K61" i="3"/>
  <c r="K62" i="3"/>
  <c r="K63" i="3"/>
  <c r="K64" i="3"/>
  <c r="K65" i="3"/>
  <c r="K66" i="3"/>
  <c r="K67" i="3"/>
  <c r="K68" i="3"/>
  <c r="K69" i="3"/>
  <c r="K70" i="3"/>
  <c r="K71" i="3"/>
  <c r="K72" i="3"/>
  <c r="K73" i="3"/>
  <c r="K74" i="3"/>
  <c r="K75" i="3"/>
  <c r="K76" i="3"/>
  <c r="K77" i="3"/>
  <c r="K78" i="3"/>
  <c r="K79" i="3"/>
  <c r="K80" i="3"/>
  <c r="K81" i="3"/>
  <c r="K82" i="3"/>
  <c r="K83" i="3"/>
  <c r="K84" i="3"/>
  <c r="K85" i="3"/>
  <c r="K86" i="3"/>
  <c r="K87" i="3"/>
  <c r="K88" i="3"/>
  <c r="K89" i="3"/>
  <c r="K90" i="3"/>
  <c r="K91" i="3"/>
  <c r="K92" i="3"/>
  <c r="K93" i="3"/>
  <c r="K94" i="3"/>
  <c r="K95" i="3"/>
  <c r="K96" i="3"/>
  <c r="K97" i="3"/>
  <c r="K98" i="3"/>
  <c r="K99" i="3"/>
  <c r="K100" i="3"/>
  <c r="K101" i="3"/>
  <c r="K102" i="3"/>
  <c r="K103" i="3"/>
  <c r="K104" i="3"/>
  <c r="K105" i="3"/>
  <c r="K106" i="3"/>
  <c r="K107" i="3"/>
  <c r="K108" i="3"/>
  <c r="K109" i="3"/>
  <c r="K110" i="3"/>
  <c r="K111" i="3"/>
  <c r="K112" i="3"/>
  <c r="K113" i="3"/>
  <c r="K114" i="3"/>
  <c r="K115" i="3"/>
  <c r="K116" i="3"/>
  <c r="K117" i="3"/>
  <c r="K118" i="3"/>
  <c r="K119" i="3"/>
  <c r="K120" i="3"/>
  <c r="K121" i="3"/>
  <c r="K122" i="3"/>
  <c r="K123" i="3"/>
  <c r="K124" i="3"/>
  <c r="K125" i="3"/>
  <c r="K126" i="3"/>
  <c r="K127" i="3"/>
  <c r="K128" i="3"/>
  <c r="K129" i="3"/>
  <c r="K130" i="3"/>
  <c r="K131" i="3"/>
  <c r="K132" i="3"/>
  <c r="K133" i="3"/>
  <c r="K134" i="3"/>
  <c r="K135" i="3"/>
  <c r="K136" i="3"/>
  <c r="K137" i="3"/>
  <c r="K138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2" i="3"/>
  <c r="K243" i="3"/>
  <c r="K244" i="3"/>
  <c r="K245" i="3"/>
  <c r="K246" i="3"/>
  <c r="K247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69" i="3"/>
  <c r="K270" i="3"/>
  <c r="K271" i="3"/>
  <c r="K272" i="3"/>
  <c r="K273" i="3"/>
  <c r="K274" i="3"/>
  <c r="K275" i="3"/>
  <c r="K276" i="3"/>
  <c r="K277" i="3"/>
  <c r="K278" i="3"/>
  <c r="K279" i="3"/>
  <c r="K280" i="3"/>
  <c r="K281" i="3"/>
  <c r="K282" i="3"/>
  <c r="K283" i="3"/>
  <c r="K284" i="3"/>
  <c r="K285" i="3"/>
  <c r="K286" i="3"/>
  <c r="K287" i="3"/>
  <c r="K288" i="3"/>
  <c r="K289" i="3"/>
  <c r="K290" i="3"/>
  <c r="K291" i="3"/>
  <c r="K292" i="3"/>
  <c r="K293" i="3"/>
  <c r="K294" i="3"/>
  <c r="K295" i="3"/>
  <c r="K296" i="3"/>
  <c r="K297" i="3"/>
  <c r="K298" i="3"/>
  <c r="K299" i="3"/>
  <c r="K300" i="3"/>
  <c r="K301" i="3"/>
  <c r="K302" i="3"/>
  <c r="K303" i="3"/>
  <c r="K304" i="3"/>
  <c r="K305" i="3"/>
  <c r="K306" i="3"/>
  <c r="K307" i="3"/>
  <c r="K308" i="3"/>
  <c r="K309" i="3"/>
  <c r="K310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3" i="3"/>
  <c r="K334" i="3"/>
  <c r="K335" i="3"/>
  <c r="K336" i="3"/>
  <c r="K337" i="3"/>
  <c r="K338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4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6" i="3"/>
  <c r="K437" i="3"/>
  <c r="K438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507" i="3"/>
  <c r="K508" i="3"/>
  <c r="K509" i="3"/>
  <c r="K510" i="3"/>
  <c r="K511" i="3"/>
  <c r="K512" i="3"/>
  <c r="K513" i="3"/>
  <c r="K514" i="3"/>
  <c r="K515" i="3"/>
  <c r="K516" i="3"/>
  <c r="K517" i="3"/>
  <c r="K518" i="3"/>
  <c r="K519" i="3"/>
  <c r="K520" i="3"/>
  <c r="K521" i="3"/>
  <c r="K522" i="3"/>
  <c r="K523" i="3"/>
  <c r="K524" i="3"/>
  <c r="K525" i="3"/>
  <c r="K526" i="3"/>
  <c r="K527" i="3"/>
  <c r="K528" i="3"/>
  <c r="K529" i="3"/>
  <c r="K530" i="3"/>
  <c r="K531" i="3"/>
  <c r="K532" i="3"/>
  <c r="K533" i="3"/>
  <c r="K534" i="3"/>
  <c r="K535" i="3"/>
  <c r="K536" i="3"/>
  <c r="K537" i="3"/>
  <c r="K538" i="3"/>
  <c r="K539" i="3"/>
  <c r="K540" i="3"/>
  <c r="K541" i="3"/>
  <c r="K542" i="3"/>
  <c r="K543" i="3"/>
  <c r="K544" i="3"/>
  <c r="K545" i="3"/>
  <c r="K546" i="3"/>
  <c r="K547" i="3"/>
  <c r="K548" i="3"/>
  <c r="K549" i="3"/>
  <c r="K550" i="3"/>
  <c r="K551" i="3"/>
  <c r="K552" i="3"/>
  <c r="K553" i="3"/>
  <c r="K554" i="3"/>
  <c r="K555" i="3"/>
  <c r="K556" i="3"/>
  <c r="K557" i="3"/>
  <c r="K558" i="3"/>
  <c r="K559" i="3"/>
  <c r="K560" i="3"/>
  <c r="K561" i="3"/>
  <c r="K562" i="3"/>
  <c r="K563" i="3"/>
  <c r="K564" i="3"/>
  <c r="K565" i="3"/>
  <c r="K566" i="3"/>
  <c r="K567" i="3"/>
  <c r="K568" i="3"/>
  <c r="K569" i="3"/>
  <c r="K570" i="3"/>
  <c r="K571" i="3"/>
  <c r="K572" i="3"/>
  <c r="K573" i="3"/>
  <c r="K574" i="3"/>
  <c r="K575" i="3"/>
  <c r="K576" i="3"/>
  <c r="K577" i="3"/>
  <c r="K578" i="3"/>
  <c r="K579" i="3"/>
  <c r="K580" i="3"/>
  <c r="K581" i="3"/>
  <c r="K582" i="3"/>
  <c r="K583" i="3"/>
  <c r="K584" i="3"/>
  <c r="K585" i="3"/>
  <c r="K586" i="3"/>
  <c r="K587" i="3"/>
  <c r="K588" i="3"/>
  <c r="K589" i="3"/>
  <c r="K590" i="3"/>
  <c r="K591" i="3"/>
  <c r="K592" i="3"/>
  <c r="K593" i="3"/>
  <c r="K594" i="3"/>
  <c r="K595" i="3"/>
  <c r="K596" i="3"/>
  <c r="K597" i="3"/>
  <c r="K598" i="3"/>
  <c r="K599" i="3"/>
  <c r="K600" i="3"/>
  <c r="K601" i="3"/>
  <c r="K602" i="3"/>
  <c r="K603" i="3"/>
  <c r="K604" i="3"/>
  <c r="K605" i="3"/>
  <c r="K606" i="3"/>
  <c r="K607" i="3"/>
  <c r="K608" i="3"/>
  <c r="K609" i="3"/>
  <c r="K610" i="3"/>
  <c r="K611" i="3"/>
  <c r="K612" i="3"/>
  <c r="K613" i="3"/>
  <c r="K614" i="3"/>
  <c r="K615" i="3"/>
  <c r="K616" i="3"/>
  <c r="K617" i="3"/>
  <c r="K618" i="3"/>
  <c r="K619" i="3"/>
  <c r="K620" i="3"/>
  <c r="K621" i="3"/>
  <c r="K622" i="3"/>
  <c r="K623" i="3"/>
  <c r="K624" i="3"/>
  <c r="K625" i="3"/>
  <c r="K626" i="3"/>
  <c r="K627" i="3"/>
  <c r="K628" i="3"/>
  <c r="K629" i="3"/>
  <c r="K630" i="3"/>
  <c r="K631" i="3"/>
  <c r="K632" i="3"/>
  <c r="K633" i="3"/>
  <c r="K634" i="3"/>
  <c r="K635" i="3"/>
  <c r="K636" i="3"/>
  <c r="K637" i="3"/>
  <c r="K638" i="3"/>
  <c r="K639" i="3"/>
  <c r="K640" i="3"/>
  <c r="K641" i="3"/>
  <c r="K642" i="3"/>
  <c r="K643" i="3"/>
  <c r="K644" i="3"/>
  <c r="K645" i="3"/>
  <c r="K646" i="3"/>
  <c r="K647" i="3"/>
  <c r="K648" i="3"/>
  <c r="K649" i="3"/>
  <c r="K650" i="3"/>
  <c r="K651" i="3"/>
  <c r="K652" i="3"/>
  <c r="K653" i="3"/>
  <c r="K654" i="3"/>
  <c r="K655" i="3"/>
  <c r="K656" i="3"/>
  <c r="K657" i="3"/>
  <c r="K658" i="3"/>
  <c r="K659" i="3"/>
  <c r="K660" i="3"/>
  <c r="K661" i="3"/>
  <c r="K662" i="3"/>
  <c r="K663" i="3"/>
  <c r="K664" i="3"/>
  <c r="K665" i="3"/>
  <c r="K666" i="3"/>
  <c r="K667" i="3"/>
  <c r="K668" i="3"/>
  <c r="K669" i="3"/>
  <c r="K670" i="3"/>
  <c r="K671" i="3"/>
  <c r="K672" i="3"/>
  <c r="K673" i="3"/>
  <c r="K674" i="3"/>
  <c r="K675" i="3"/>
  <c r="K676" i="3"/>
  <c r="K677" i="3"/>
  <c r="K678" i="3"/>
  <c r="K679" i="3"/>
  <c r="K680" i="3"/>
  <c r="K681" i="3"/>
  <c r="K682" i="3"/>
  <c r="K683" i="3"/>
  <c r="K684" i="3"/>
  <c r="K685" i="3"/>
  <c r="K686" i="3"/>
  <c r="K687" i="3"/>
  <c r="K688" i="3"/>
  <c r="K689" i="3"/>
  <c r="K690" i="3"/>
  <c r="K691" i="3"/>
  <c r="K692" i="3"/>
  <c r="K693" i="3"/>
  <c r="K694" i="3"/>
  <c r="K695" i="3"/>
  <c r="K696" i="3"/>
  <c r="K697" i="3"/>
  <c r="K698" i="3"/>
  <c r="K699" i="3"/>
  <c r="K700" i="3"/>
  <c r="K701" i="3"/>
  <c r="K702" i="3"/>
  <c r="K703" i="3"/>
  <c r="K704" i="3"/>
  <c r="K705" i="3"/>
  <c r="K706" i="3"/>
  <c r="K707" i="3"/>
  <c r="K708" i="3"/>
  <c r="K709" i="3"/>
  <c r="K710" i="3"/>
  <c r="K711" i="3"/>
  <c r="K712" i="3"/>
  <c r="K713" i="3"/>
  <c r="K714" i="3"/>
  <c r="K715" i="3"/>
  <c r="K716" i="3"/>
  <c r="K717" i="3"/>
  <c r="K718" i="3"/>
  <c r="K719" i="3"/>
  <c r="K720" i="3"/>
  <c r="K721" i="3"/>
  <c r="K722" i="3"/>
  <c r="K723" i="3"/>
  <c r="K724" i="3"/>
  <c r="K725" i="3"/>
  <c r="K726" i="3"/>
  <c r="K727" i="3"/>
  <c r="K728" i="3"/>
  <c r="K729" i="3"/>
  <c r="K730" i="3"/>
  <c r="K731" i="3"/>
  <c r="K732" i="3"/>
  <c r="K733" i="3"/>
  <c r="K734" i="3"/>
  <c r="K735" i="3"/>
  <c r="K736" i="3"/>
  <c r="K737" i="3"/>
  <c r="K738" i="3"/>
  <c r="K739" i="3"/>
  <c r="K740" i="3"/>
  <c r="K741" i="3"/>
  <c r="K742" i="3"/>
  <c r="K743" i="3"/>
  <c r="K744" i="3"/>
  <c r="K745" i="3"/>
  <c r="K746" i="3"/>
  <c r="K747" i="3"/>
  <c r="K748" i="3"/>
  <c r="K749" i="3"/>
  <c r="K750" i="3"/>
  <c r="K751" i="3"/>
  <c r="K752" i="3"/>
  <c r="K753" i="3"/>
  <c r="K754" i="3"/>
  <c r="K755" i="3"/>
  <c r="K756" i="3"/>
  <c r="K757" i="3"/>
  <c r="K758" i="3"/>
  <c r="K759" i="3"/>
  <c r="K760" i="3"/>
  <c r="K761" i="3"/>
  <c r="K762" i="3"/>
  <c r="K763" i="3"/>
  <c r="K764" i="3"/>
  <c r="K765" i="3"/>
  <c r="K766" i="3"/>
  <c r="K767" i="3"/>
  <c r="K768" i="3"/>
  <c r="K769" i="3"/>
  <c r="K770" i="3"/>
  <c r="K771" i="3"/>
  <c r="K772" i="3"/>
  <c r="K773" i="3"/>
  <c r="K774" i="3"/>
  <c r="K775" i="3"/>
  <c r="K776" i="3"/>
  <c r="K777" i="3"/>
  <c r="K778" i="3"/>
  <c r="K779" i="3"/>
  <c r="K780" i="3"/>
  <c r="K781" i="3"/>
  <c r="K782" i="3"/>
  <c r="K783" i="3"/>
  <c r="K784" i="3"/>
  <c r="J3" i="3"/>
  <c r="K3" i="3" s="1"/>
  <c r="J6" i="3"/>
  <c r="J8" i="3"/>
  <c r="J11" i="3"/>
  <c r="J13" i="3"/>
  <c r="J15" i="3"/>
  <c r="J16" i="3"/>
  <c r="J19" i="3"/>
  <c r="J22" i="3"/>
  <c r="J24" i="3"/>
  <c r="J25" i="3"/>
  <c r="J28" i="3"/>
  <c r="J38" i="3"/>
  <c r="J61" i="3"/>
  <c r="J65" i="3"/>
  <c r="J71" i="3"/>
  <c r="J76" i="3"/>
  <c r="J77" i="3"/>
  <c r="J80" i="3"/>
  <c r="J82" i="3"/>
  <c r="J95" i="3"/>
  <c r="J103" i="3"/>
  <c r="J112" i="3"/>
  <c r="J131" i="3"/>
  <c r="J137" i="3"/>
  <c r="J141" i="3"/>
  <c r="J163" i="3"/>
  <c r="J164" i="3"/>
  <c r="J168" i="3"/>
  <c r="J173" i="3"/>
  <c r="J179" i="3"/>
  <c r="J181" i="3"/>
  <c r="J183" i="3"/>
  <c r="J184" i="3"/>
  <c r="J186" i="3"/>
  <c r="J189" i="3"/>
  <c r="J193" i="3"/>
  <c r="J196" i="3"/>
  <c r="J201" i="3"/>
  <c r="J207" i="3"/>
  <c r="J212" i="3"/>
  <c r="J218" i="3"/>
  <c r="J219" i="3"/>
  <c r="J227" i="3"/>
  <c r="J232" i="3"/>
  <c r="J233" i="3"/>
  <c r="J235" i="3"/>
  <c r="J237" i="3"/>
  <c r="J238" i="3"/>
  <c r="J239" i="3"/>
  <c r="J240" i="3"/>
  <c r="J241" i="3"/>
  <c r="J242" i="3"/>
  <c r="J260" i="3"/>
  <c r="J262" i="3"/>
  <c r="J264" i="3"/>
  <c r="J265" i="3"/>
  <c r="J271" i="3"/>
  <c r="J280" i="3"/>
  <c r="J281" i="3"/>
  <c r="J284" i="3"/>
  <c r="J285" i="3"/>
  <c r="J289" i="3"/>
  <c r="J295" i="3"/>
  <c r="J298" i="3"/>
  <c r="J308" i="3"/>
  <c r="J313" i="3"/>
  <c r="J318" i="3"/>
  <c r="J322" i="3"/>
  <c r="J327" i="3"/>
  <c r="J330" i="3"/>
  <c r="J338" i="3"/>
  <c r="J351" i="3"/>
  <c r="J353" i="3"/>
  <c r="J361" i="3"/>
  <c r="J369" i="3"/>
  <c r="J372" i="3"/>
  <c r="J374" i="3"/>
  <c r="J387" i="3"/>
  <c r="J392" i="3"/>
  <c r="J394" i="3"/>
  <c r="J397" i="3"/>
  <c r="J401" i="3"/>
  <c r="J402" i="3"/>
  <c r="J404" i="3"/>
  <c r="J409" i="3"/>
  <c r="J432" i="3"/>
  <c r="J441" i="3"/>
  <c r="J446" i="3"/>
  <c r="J447" i="3"/>
  <c r="J449" i="3"/>
  <c r="J451" i="3"/>
  <c r="J453" i="3"/>
  <c r="J454" i="3"/>
  <c r="J456" i="3"/>
  <c r="J467" i="3"/>
  <c r="J470" i="3"/>
  <c r="J476" i="3"/>
  <c r="J482" i="3"/>
  <c r="J487" i="3"/>
  <c r="J490" i="3"/>
  <c r="J494" i="3"/>
  <c r="J504" i="3"/>
  <c r="J505" i="3"/>
  <c r="J506" i="3"/>
  <c r="J508" i="3"/>
  <c r="J512" i="3"/>
  <c r="J515" i="3"/>
  <c r="J521" i="3"/>
  <c r="J526" i="3"/>
  <c r="J529" i="3"/>
  <c r="J532" i="3"/>
  <c r="J535" i="3"/>
  <c r="J537" i="3"/>
  <c r="J539" i="3"/>
  <c r="J544" i="3"/>
  <c r="J546" i="3"/>
  <c r="J547" i="3"/>
  <c r="J549" i="3"/>
  <c r="J552" i="3"/>
  <c r="J553" i="3"/>
  <c r="J554" i="3"/>
  <c r="J555" i="3"/>
  <c r="J556" i="3"/>
  <c r="J558" i="3"/>
  <c r="J560" i="3"/>
  <c r="J565" i="3"/>
  <c r="J571" i="3"/>
  <c r="J575" i="3"/>
  <c r="J577" i="3"/>
  <c r="J578" i="3"/>
  <c r="J586" i="3"/>
  <c r="J588" i="3"/>
  <c r="J589" i="3"/>
  <c r="J590" i="3"/>
  <c r="J591" i="3"/>
  <c r="J592" i="3"/>
  <c r="J594" i="3"/>
  <c r="J607" i="3"/>
  <c r="J610" i="3"/>
  <c r="J612" i="3"/>
  <c r="J615" i="3"/>
  <c r="J618" i="3"/>
  <c r="J625" i="3"/>
  <c r="J627" i="3"/>
  <c r="J628" i="3"/>
  <c r="J629" i="3"/>
  <c r="J630" i="3"/>
  <c r="J631" i="3"/>
  <c r="J632" i="3"/>
  <c r="J634" i="3"/>
  <c r="J636" i="3"/>
  <c r="J640" i="3"/>
  <c r="J642" i="3"/>
  <c r="J644" i="3"/>
  <c r="J648" i="3"/>
  <c r="J653" i="3"/>
  <c r="J658" i="3"/>
  <c r="J659" i="3"/>
  <c r="J664" i="3"/>
  <c r="J667" i="3"/>
  <c r="J669" i="3"/>
  <c r="J670" i="3"/>
  <c r="J672" i="3"/>
  <c r="J673" i="3"/>
  <c r="J674" i="3"/>
  <c r="J677" i="3"/>
  <c r="J678" i="3"/>
  <c r="J681" i="3"/>
  <c r="J682" i="3"/>
  <c r="J685" i="3"/>
  <c r="J693" i="3"/>
  <c r="J698" i="3"/>
  <c r="J702" i="3"/>
  <c r="J705" i="3"/>
  <c r="J707" i="3"/>
  <c r="J709" i="3"/>
  <c r="J710" i="3"/>
  <c r="J711" i="3"/>
  <c r="J714" i="3"/>
  <c r="J715" i="3"/>
  <c r="J716" i="3"/>
  <c r="J718" i="3"/>
  <c r="J719" i="3"/>
  <c r="J720" i="3"/>
  <c r="J722" i="3"/>
  <c r="J724" i="3"/>
  <c r="J729" i="3"/>
  <c r="J732" i="3"/>
  <c r="J735" i="3"/>
  <c r="J738" i="3"/>
  <c r="J739" i="3"/>
  <c r="J744" i="3"/>
  <c r="J745" i="3"/>
  <c r="J746" i="3"/>
  <c r="J747" i="3"/>
  <c r="J750" i="3"/>
  <c r="J753" i="3"/>
  <c r="J754" i="3"/>
  <c r="J757" i="3"/>
  <c r="J758" i="3"/>
  <c r="J761" i="3"/>
  <c r="J762" i="3"/>
  <c r="J763" i="3"/>
  <c r="J765" i="3"/>
  <c r="J767" i="3"/>
  <c r="J770" i="3"/>
  <c r="J772" i="3"/>
  <c r="J773" i="3"/>
  <c r="J774" i="3"/>
  <c r="J777" i="3"/>
  <c r="J778" i="3"/>
  <c r="J782" i="3"/>
  <c r="J783" i="3"/>
</calcChain>
</file>

<file path=xl/sharedStrings.xml><?xml version="1.0" encoding="utf-8"?>
<sst xmlns="http://schemas.openxmlformats.org/spreadsheetml/2006/main" count="7587" uniqueCount="706">
  <si>
    <t>Loc No</t>
  </si>
  <si>
    <t>Tower Num</t>
  </si>
  <si>
    <t>Type</t>
  </si>
  <si>
    <t>FWD Span</t>
  </si>
  <si>
    <t>SPAN WITH JUMPER ADDED</t>
  </si>
  <si>
    <t>Angle</t>
  </si>
  <si>
    <t>Cumulative span length ( KM)</t>
  </si>
  <si>
    <t>Jurisdiction</t>
  </si>
  <si>
    <t>REMARKS</t>
  </si>
  <si>
    <t>ST001</t>
  </si>
  <si>
    <t>Gantry</t>
  </si>
  <si>
    <t>GOMD-VI</t>
  </si>
  <si>
    <t>GOMD-VI- 30.839 KM, No of Tower : 100 Nos</t>
  </si>
  <si>
    <t>T001</t>
  </si>
  <si>
    <t>DD</t>
  </si>
  <si>
    <t>T002</t>
  </si>
  <si>
    <t>SPECIAL</t>
  </si>
  <si>
    <t>T003</t>
  </si>
  <si>
    <t>T004</t>
  </si>
  <si>
    <t>DC</t>
  </si>
  <si>
    <t>T005</t>
  </si>
  <si>
    <t>T006</t>
  </si>
  <si>
    <t>T007</t>
  </si>
  <si>
    <t>DA</t>
  </si>
  <si>
    <t>T008</t>
  </si>
  <si>
    <t>T009</t>
  </si>
  <si>
    <t>T010</t>
  </si>
  <si>
    <t>T011</t>
  </si>
  <si>
    <t>DB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</si>
  <si>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</si>
  <si>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</si>
  <si>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</si>
  <si>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</si>
  <si>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</si>
  <si>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</si>
  <si>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</si>
  <si>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</si>
  <si>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</si>
  <si>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T021</t>
  </si>
  <si>
    <t>T022</t>
  </si>
  <si>
    <t>T023</t>
  </si>
  <si>
    <t>T024</t>
  </si>
  <si>
    <t>T025</t>
  </si>
  <si>
    <t>T026</t>
  </si>
  <si>
    <t>T027</t>
  </si>
  <si>
    <t>T028</t>
  </si>
  <si>
    <t>T029</t>
  </si>
  <si>
    <t>T030</t>
  </si>
  <si>
    <t>T031</t>
  </si>
  <si>
    <t>T032</t>
  </si>
  <si>
    <t>T033</t>
  </si>
  <si>
    <t>T034</t>
  </si>
  <si>
    <t>T035</t>
  </si>
  <si>
    <t>T036</t>
  </si>
  <si>
    <t>T037</t>
  </si>
  <si>
    <t>T038</t>
  </si>
  <si>
    <t>T039</t>
  </si>
  <si>
    <t>T040</t>
  </si>
  <si>
    <t>T041</t>
  </si>
  <si>
    <t>T042</t>
  </si>
  <si>
    <t>T043</t>
  </si>
  <si>
    <t>T044</t>
  </si>
  <si>
    <t>T045</t>
  </si>
  <si>
    <t>T046</t>
  </si>
  <si>
    <t>T047</t>
  </si>
  <si>
    <t>T048</t>
  </si>
  <si>
    <t>T049</t>
  </si>
  <si>
    <t>T050</t>
  </si>
  <si>
    <t>T051</t>
  </si>
  <si>
    <t>T052</t>
  </si>
  <si>
    <t>T053</t>
  </si>
  <si>
    <t>T054</t>
  </si>
  <si>
    <t>T055</t>
  </si>
  <si>
    <t>T056</t>
  </si>
  <si>
    <t>T057</t>
  </si>
  <si>
    <t>T058</t>
  </si>
  <si>
    <t>T059</t>
  </si>
  <si>
    <t>T060</t>
  </si>
  <si>
    <t>T061</t>
  </si>
  <si>
    <t>T062</t>
  </si>
  <si>
    <t>T063</t>
  </si>
  <si>
    <t>T064</t>
  </si>
  <si>
    <t>T065</t>
  </si>
  <si>
    <t>T066</t>
  </si>
  <si>
    <t>T067</t>
  </si>
  <si>
    <t>T068</t>
  </si>
  <si>
    <t>T069</t>
  </si>
  <si>
    <t>T070</t>
  </si>
  <si>
    <t>T071</t>
  </si>
  <si>
    <t>T072</t>
  </si>
  <si>
    <t>T073</t>
  </si>
  <si>
    <t>T074</t>
  </si>
  <si>
    <t>T075</t>
  </si>
  <si>
    <t>T076(GANTRY)</t>
  </si>
  <si>
    <t>T077(GANTRY)</t>
  </si>
  <si>
    <t>T078</t>
  </si>
  <si>
    <t>T079</t>
  </si>
  <si>
    <t>T080</t>
  </si>
  <si>
    <t>T081</t>
  </si>
  <si>
    <t>T082</t>
  </si>
  <si>
    <t>T083</t>
  </si>
  <si>
    <t>T084</t>
  </si>
  <si>
    <t>T085</t>
  </si>
  <si>
    <t>T086</t>
  </si>
  <si>
    <t>T087</t>
  </si>
  <si>
    <t>T088</t>
  </si>
  <si>
    <t>T089</t>
  </si>
  <si>
    <t>T090</t>
  </si>
  <si>
    <t>T091</t>
  </si>
  <si>
    <t>T092</t>
  </si>
  <si>
    <t>T093</t>
  </si>
  <si>
    <t>T094</t>
  </si>
  <si>
    <t>T095</t>
  </si>
  <si>
    <t>T096</t>
  </si>
  <si>
    <t>T097</t>
  </si>
  <si>
    <t>T098</t>
  </si>
  <si>
    <t>T099</t>
  </si>
  <si>
    <t>T100</t>
  </si>
  <si>
    <t>T101</t>
  </si>
  <si>
    <t>GOMD-II</t>
  </si>
  <si>
    <t>GOMD-II-38.896 KM No of Tower : 126 Nos</t>
  </si>
  <si>
    <t>T102</t>
  </si>
  <si>
    <t>T103</t>
  </si>
  <si>
    <t>T104</t>
  </si>
  <si>
    <t>T105</t>
  </si>
  <si>
    <t>T106</t>
  </si>
  <si>
    <t>T107</t>
  </si>
  <si>
    <t>T108</t>
  </si>
  <si>
    <t>T109</t>
  </si>
  <si>
    <t>T110</t>
  </si>
  <si>
    <t>T111</t>
  </si>
  <si>
    <t>T112</t>
  </si>
  <si>
    <t>T113</t>
  </si>
  <si>
    <t>T114</t>
  </si>
  <si>
    <t>T115</t>
  </si>
  <si>
    <t>T116</t>
  </si>
  <si>
    <t>T117</t>
  </si>
  <si>
    <t>T118</t>
  </si>
  <si>
    <t>T119</t>
  </si>
  <si>
    <t>T120</t>
  </si>
  <si>
    <t>T121</t>
  </si>
  <si>
    <t>T122</t>
  </si>
  <si>
    <t>T123</t>
  </si>
  <si>
    <t>T124</t>
  </si>
  <si>
    <t>T125</t>
  </si>
  <si>
    <t>T126</t>
  </si>
  <si>
    <t>T127</t>
  </si>
  <si>
    <t>T128</t>
  </si>
  <si>
    <t>T129</t>
  </si>
  <si>
    <t>T130</t>
  </si>
  <si>
    <t>T131</t>
  </si>
  <si>
    <t>T132</t>
  </si>
  <si>
    <t>T133</t>
  </si>
  <si>
    <t>T134</t>
  </si>
  <si>
    <t>T135</t>
  </si>
  <si>
    <t>T136</t>
  </si>
  <si>
    <t>T137</t>
  </si>
  <si>
    <t>T138</t>
  </si>
  <si>
    <t>T139</t>
  </si>
  <si>
    <t>T140</t>
  </si>
  <si>
    <t>T141</t>
  </si>
  <si>
    <t>T142</t>
  </si>
  <si>
    <t>T143</t>
  </si>
  <si>
    <t>T144</t>
  </si>
  <si>
    <t>T145</t>
  </si>
  <si>
    <t>T146</t>
  </si>
  <si>
    <t>T147</t>
  </si>
  <si>
    <t>T148</t>
  </si>
  <si>
    <t>T149</t>
  </si>
  <si>
    <t>T150</t>
  </si>
  <si>
    <t>T151</t>
  </si>
  <si>
    <t>T152</t>
  </si>
  <si>
    <t>T153</t>
  </si>
  <si>
    <t>T154</t>
  </si>
  <si>
    <t>T155</t>
  </si>
  <si>
    <t>T156</t>
  </si>
  <si>
    <t>T157</t>
  </si>
  <si>
    <t>T158</t>
  </si>
  <si>
    <t>T159</t>
  </si>
  <si>
    <t>T160</t>
  </si>
  <si>
    <t>T161</t>
  </si>
  <si>
    <t>T162 Rly c/s</t>
  </si>
  <si>
    <t>T163</t>
  </si>
  <si>
    <t>T164</t>
  </si>
  <si>
    <t>T165</t>
  </si>
  <si>
    <t>T166</t>
  </si>
  <si>
    <t>T167</t>
  </si>
  <si>
    <t>T168</t>
  </si>
  <si>
    <t>T169</t>
  </si>
  <si>
    <t>T170</t>
  </si>
  <si>
    <t>T171</t>
  </si>
  <si>
    <t>T172</t>
  </si>
  <si>
    <t>T173</t>
  </si>
  <si>
    <t>T174</t>
  </si>
  <si>
    <t>T175</t>
  </si>
  <si>
    <t>T176</t>
  </si>
  <si>
    <t>T177</t>
  </si>
  <si>
    <t>T178</t>
  </si>
  <si>
    <t>T179</t>
  </si>
  <si>
    <t>T180</t>
  </si>
  <si>
    <t>T181</t>
  </si>
  <si>
    <t>T182</t>
  </si>
  <si>
    <t>T183</t>
  </si>
  <si>
    <t>T184</t>
  </si>
  <si>
    <t>T185</t>
  </si>
  <si>
    <t>T186</t>
  </si>
  <si>
    <t>T187</t>
  </si>
  <si>
    <t>T188</t>
  </si>
  <si>
    <t>T189</t>
  </si>
  <si>
    <t>T190</t>
  </si>
  <si>
    <t>T191</t>
  </si>
  <si>
    <t>T192</t>
  </si>
  <si>
    <t>T193</t>
  </si>
  <si>
    <t>T194</t>
  </si>
  <si>
    <t>T195</t>
  </si>
  <si>
    <t>T196</t>
  </si>
  <si>
    <t>T197</t>
  </si>
  <si>
    <t>T198</t>
  </si>
  <si>
    <t>T199</t>
  </si>
  <si>
    <t>T200</t>
  </si>
  <si>
    <t>T201</t>
  </si>
  <si>
    <t>T202</t>
  </si>
  <si>
    <t>T203</t>
  </si>
  <si>
    <t>T204</t>
  </si>
  <si>
    <t>T205</t>
  </si>
  <si>
    <t>T206</t>
  </si>
  <si>
    <t>T207</t>
  </si>
  <si>
    <t>T208</t>
  </si>
  <si>
    <t>T209</t>
  </si>
  <si>
    <t>T210</t>
  </si>
  <si>
    <t>T211</t>
  </si>
  <si>
    <t>T212</t>
  </si>
  <si>
    <t>T213</t>
  </si>
  <si>
    <t>T214</t>
  </si>
  <si>
    <t>T215</t>
  </si>
  <si>
    <t>T216</t>
  </si>
  <si>
    <t>T217</t>
  </si>
  <si>
    <t>T218</t>
  </si>
  <si>
    <t>T219</t>
  </si>
  <si>
    <t>T220</t>
  </si>
  <si>
    <t>T221</t>
  </si>
  <si>
    <t>T222</t>
  </si>
  <si>
    <t>T223</t>
  </si>
  <si>
    <t>T224</t>
  </si>
  <si>
    <t>T225</t>
  </si>
  <si>
    <t>T226</t>
  </si>
  <si>
    <t>GOMD-III</t>
  </si>
  <si>
    <t>GOMD-III- 39.85 KM , No of Tower : 131</t>
  </si>
  <si>
    <t>T227</t>
  </si>
  <si>
    <t>T228</t>
  </si>
  <si>
    <t>T229</t>
  </si>
  <si>
    <t>T230</t>
  </si>
  <si>
    <t>T231</t>
  </si>
  <si>
    <t>T232</t>
  </si>
  <si>
    <t>T233</t>
  </si>
  <si>
    <t>T234</t>
  </si>
  <si>
    <t>T235</t>
  </si>
  <si>
    <t>T236</t>
  </si>
  <si>
    <t>T236/1(Eye Hosp)</t>
  </si>
  <si>
    <t>T236/2(Eye Hosp)</t>
  </si>
  <si>
    <t>T237</t>
  </si>
  <si>
    <t>T238</t>
  </si>
  <si>
    <t>T239</t>
  </si>
  <si>
    <t>T240</t>
  </si>
  <si>
    <t>T241</t>
  </si>
  <si>
    <t>T242</t>
  </si>
  <si>
    <t>T243</t>
  </si>
  <si>
    <t>T244</t>
  </si>
  <si>
    <t>T245</t>
  </si>
  <si>
    <t>T246</t>
  </si>
  <si>
    <t>T247</t>
  </si>
  <si>
    <t>T248</t>
  </si>
  <si>
    <t>T249</t>
  </si>
  <si>
    <t>T250</t>
  </si>
  <si>
    <t>T251</t>
  </si>
  <si>
    <t>T252</t>
  </si>
  <si>
    <t>T253</t>
  </si>
  <si>
    <t>T254</t>
  </si>
  <si>
    <t>T255</t>
  </si>
  <si>
    <t>T256</t>
  </si>
  <si>
    <t>T257</t>
  </si>
  <si>
    <t>T258</t>
  </si>
  <si>
    <t>T259</t>
  </si>
  <si>
    <t>T260</t>
  </si>
  <si>
    <t>T261</t>
  </si>
  <si>
    <t>T262</t>
  </si>
  <si>
    <t>T263</t>
  </si>
  <si>
    <t>T264</t>
  </si>
  <si>
    <t>T265</t>
  </si>
  <si>
    <t>T266</t>
  </si>
  <si>
    <t>T267</t>
  </si>
  <si>
    <t>T268</t>
  </si>
  <si>
    <t>T269</t>
  </si>
  <si>
    <t>T270</t>
  </si>
  <si>
    <t>T271</t>
  </si>
  <si>
    <t>T272</t>
  </si>
  <si>
    <t>T273</t>
  </si>
  <si>
    <t>T274</t>
  </si>
  <si>
    <t>T275</t>
  </si>
  <si>
    <t>T276</t>
  </si>
  <si>
    <t>T277</t>
  </si>
  <si>
    <t>T278(GANTRY)</t>
  </si>
  <si>
    <t>T279(GANTRY)</t>
  </si>
  <si>
    <t>T280</t>
  </si>
  <si>
    <t>T281</t>
  </si>
  <si>
    <t>T282</t>
  </si>
  <si>
    <t>T283(RIVER C/S)</t>
  </si>
  <si>
    <t>T284(RIVER C/S)</t>
  </si>
  <si>
    <t>T285</t>
  </si>
  <si>
    <t>T286</t>
  </si>
  <si>
    <t>T287</t>
  </si>
  <si>
    <t>T288</t>
  </si>
  <si>
    <t>T289</t>
  </si>
  <si>
    <t>T290</t>
  </si>
  <si>
    <t>T291</t>
  </si>
  <si>
    <t>T292</t>
  </si>
  <si>
    <t>T293</t>
  </si>
  <si>
    <t>T294</t>
  </si>
  <si>
    <t>T295</t>
  </si>
  <si>
    <t>T296</t>
  </si>
  <si>
    <t>T297</t>
  </si>
  <si>
    <t>T298</t>
  </si>
  <si>
    <t>T299</t>
  </si>
  <si>
    <t>T300</t>
  </si>
  <si>
    <t>T301</t>
  </si>
  <si>
    <t>T302</t>
  </si>
  <si>
    <t>T303</t>
  </si>
  <si>
    <t>T304</t>
  </si>
  <si>
    <t>T305</t>
  </si>
  <si>
    <t>T306</t>
  </si>
  <si>
    <t>T307</t>
  </si>
  <si>
    <t>T308</t>
  </si>
  <si>
    <t>T309</t>
  </si>
  <si>
    <t>T310</t>
  </si>
  <si>
    <t>T311</t>
  </si>
  <si>
    <t>T312</t>
  </si>
  <si>
    <t>T313</t>
  </si>
  <si>
    <t>T314</t>
  </si>
  <si>
    <t>T315</t>
  </si>
  <si>
    <t>T316</t>
  </si>
  <si>
    <t>T317</t>
  </si>
  <si>
    <t>T318</t>
  </si>
  <si>
    <t>T319</t>
  </si>
  <si>
    <t>T320</t>
  </si>
  <si>
    <t>T321</t>
  </si>
  <si>
    <t>T322</t>
  </si>
  <si>
    <t>T323</t>
  </si>
  <si>
    <t>T324</t>
  </si>
  <si>
    <t>T325</t>
  </si>
  <si>
    <t>T326</t>
  </si>
  <si>
    <t>T327</t>
  </si>
  <si>
    <t>T328</t>
  </si>
  <si>
    <t>T329</t>
  </si>
  <si>
    <t>T330</t>
  </si>
  <si>
    <t>T331</t>
  </si>
  <si>
    <t>T332</t>
  </si>
  <si>
    <t>T333</t>
  </si>
  <si>
    <t>T334</t>
  </si>
  <si>
    <t>T335</t>
  </si>
  <si>
    <t>T336</t>
  </si>
  <si>
    <t>T337</t>
  </si>
  <si>
    <t>T338</t>
  </si>
  <si>
    <t>T339</t>
  </si>
  <si>
    <t>T340</t>
  </si>
  <si>
    <t>T341</t>
  </si>
  <si>
    <t>T342</t>
  </si>
  <si>
    <t>T343</t>
  </si>
  <si>
    <t>T344</t>
  </si>
  <si>
    <t>T345</t>
  </si>
  <si>
    <t>T346</t>
  </si>
  <si>
    <t>T347</t>
  </si>
  <si>
    <t>T348</t>
  </si>
  <si>
    <t>T349</t>
  </si>
  <si>
    <t>T350</t>
  </si>
  <si>
    <t>T351</t>
  </si>
  <si>
    <t>T352</t>
  </si>
  <si>
    <t>T353</t>
  </si>
  <si>
    <t>T354</t>
  </si>
  <si>
    <t>T355</t>
  </si>
  <si>
    <t>T356</t>
  </si>
  <si>
    <t>T357</t>
  </si>
  <si>
    <t>GOMD-IV</t>
  </si>
  <si>
    <t>GOMD-IV- 22.93 KM , No of Tower: 73</t>
  </si>
  <si>
    <t>T358</t>
  </si>
  <si>
    <t>T359</t>
  </si>
  <si>
    <t>T360</t>
  </si>
  <si>
    <t>T361</t>
  </si>
  <si>
    <t>T362</t>
  </si>
  <si>
    <t>T363</t>
  </si>
  <si>
    <t>T364</t>
  </si>
  <si>
    <t>T365</t>
  </si>
  <si>
    <t>T366</t>
  </si>
  <si>
    <t>T367</t>
  </si>
  <si>
    <t>T368</t>
  </si>
  <si>
    <t>T369</t>
  </si>
  <si>
    <t>T370</t>
  </si>
  <si>
    <t>T371</t>
  </si>
  <si>
    <t>T372</t>
  </si>
  <si>
    <t>T373</t>
  </si>
  <si>
    <t>T374</t>
  </si>
  <si>
    <t>T375</t>
  </si>
  <si>
    <t>T376</t>
  </si>
  <si>
    <t>T377</t>
  </si>
  <si>
    <t>T378</t>
  </si>
  <si>
    <t>T379</t>
  </si>
  <si>
    <t>T380</t>
  </si>
  <si>
    <t>T381</t>
  </si>
  <si>
    <t>T382</t>
  </si>
  <si>
    <t>T383</t>
  </si>
  <si>
    <t>T384</t>
  </si>
  <si>
    <t>T385</t>
  </si>
  <si>
    <t>T386</t>
  </si>
  <si>
    <t>T387</t>
  </si>
  <si>
    <t>T388</t>
  </si>
  <si>
    <t>T389</t>
  </si>
  <si>
    <t>T390</t>
  </si>
  <si>
    <t>T391</t>
  </si>
  <si>
    <t>T392</t>
  </si>
  <si>
    <t>T393</t>
  </si>
  <si>
    <t>T394</t>
  </si>
  <si>
    <t>T395</t>
  </si>
  <si>
    <t>T396</t>
  </si>
  <si>
    <t>T397</t>
  </si>
  <si>
    <t>T398</t>
  </si>
  <si>
    <t>T399</t>
  </si>
  <si>
    <t>T400</t>
  </si>
  <si>
    <t>T401</t>
  </si>
  <si>
    <t>T402</t>
  </si>
  <si>
    <t>T403</t>
  </si>
  <si>
    <t>T404</t>
  </si>
  <si>
    <t>T405</t>
  </si>
  <si>
    <t>T406</t>
  </si>
  <si>
    <t>T407</t>
  </si>
  <si>
    <t>T408</t>
  </si>
  <si>
    <t>T409</t>
  </si>
  <si>
    <t>T410</t>
  </si>
  <si>
    <t>T411</t>
  </si>
  <si>
    <t>T412</t>
  </si>
  <si>
    <t>T413</t>
  </si>
  <si>
    <t>T414</t>
  </si>
  <si>
    <t>T415</t>
  </si>
  <si>
    <t>T416</t>
  </si>
  <si>
    <t>T417</t>
  </si>
  <si>
    <t>T418</t>
  </si>
  <si>
    <t>T419</t>
  </si>
  <si>
    <t>T420</t>
  </si>
  <si>
    <t>T421</t>
  </si>
  <si>
    <t>T422</t>
  </si>
  <si>
    <t>T423</t>
  </si>
  <si>
    <t>T424</t>
  </si>
  <si>
    <t>T425</t>
  </si>
  <si>
    <t>T426</t>
  </si>
  <si>
    <t>T427</t>
  </si>
  <si>
    <t>T428</t>
  </si>
  <si>
    <t>T429</t>
  </si>
  <si>
    <t>T430</t>
  </si>
  <si>
    <t>GOMD-VII</t>
  </si>
  <si>
    <t>GOMD-VII- 95.61  KM No of Tower :430</t>
  </si>
  <si>
    <t>T431</t>
  </si>
  <si>
    <t>T432</t>
  </si>
  <si>
    <t>T433</t>
  </si>
  <si>
    <t>T434</t>
  </si>
  <si>
    <t>T435</t>
  </si>
  <si>
    <t>T436</t>
  </si>
  <si>
    <t>T437</t>
  </si>
  <si>
    <t>T438</t>
  </si>
  <si>
    <t>T439</t>
  </si>
  <si>
    <t>T440</t>
  </si>
  <si>
    <t>T441</t>
  </si>
  <si>
    <t>T442</t>
  </si>
  <si>
    <t>T443</t>
  </si>
  <si>
    <t>T444</t>
  </si>
  <si>
    <t>T445</t>
  </si>
  <si>
    <t>T446</t>
  </si>
  <si>
    <t>T447</t>
  </si>
  <si>
    <t>T448</t>
  </si>
  <si>
    <t>T449</t>
  </si>
  <si>
    <t>T450</t>
  </si>
  <si>
    <t>T451</t>
  </si>
  <si>
    <t>T452</t>
  </si>
  <si>
    <t>T453</t>
  </si>
  <si>
    <t>T454</t>
  </si>
  <si>
    <t>T455</t>
  </si>
  <si>
    <t>T456</t>
  </si>
  <si>
    <t>T457</t>
  </si>
  <si>
    <t>T458</t>
  </si>
  <si>
    <t>T459</t>
  </si>
  <si>
    <t>T460</t>
  </si>
  <si>
    <t>T461</t>
  </si>
  <si>
    <t>T462</t>
  </si>
  <si>
    <t>T463</t>
  </si>
  <si>
    <t>T464</t>
  </si>
  <si>
    <t>T465</t>
  </si>
  <si>
    <t>T466</t>
  </si>
  <si>
    <t>T467</t>
  </si>
  <si>
    <t>T468</t>
  </si>
  <si>
    <t>T469</t>
  </si>
  <si>
    <t>T470</t>
  </si>
  <si>
    <t>T471</t>
  </si>
  <si>
    <t>T472</t>
  </si>
  <si>
    <t>T473</t>
  </si>
  <si>
    <t>T474</t>
  </si>
  <si>
    <t>T475</t>
  </si>
  <si>
    <t>T476</t>
  </si>
  <si>
    <t>T477</t>
  </si>
  <si>
    <t>T478</t>
  </si>
  <si>
    <t>T479</t>
  </si>
  <si>
    <t>T480</t>
  </si>
  <si>
    <t>T481</t>
  </si>
  <si>
    <t>T482</t>
  </si>
  <si>
    <t>T483</t>
  </si>
  <si>
    <t>T484</t>
  </si>
  <si>
    <t>T485</t>
  </si>
  <si>
    <t>T486</t>
  </si>
  <si>
    <t>T487</t>
  </si>
  <si>
    <t>T488</t>
  </si>
  <si>
    <t>T489</t>
  </si>
  <si>
    <t>T490</t>
  </si>
  <si>
    <t>T491</t>
  </si>
  <si>
    <t>T492</t>
  </si>
  <si>
    <t>T493</t>
  </si>
  <si>
    <t>T494</t>
  </si>
  <si>
    <t>T495</t>
  </si>
  <si>
    <t>T496</t>
  </si>
  <si>
    <t>T497</t>
  </si>
  <si>
    <t>T498</t>
  </si>
  <si>
    <t>T499</t>
  </si>
  <si>
    <t>T500</t>
  </si>
  <si>
    <t>T501</t>
  </si>
  <si>
    <t>T502</t>
  </si>
  <si>
    <t>T503</t>
  </si>
  <si>
    <t>T504</t>
  </si>
  <si>
    <t>T505</t>
  </si>
  <si>
    <t>T506</t>
  </si>
  <si>
    <t>T507</t>
  </si>
  <si>
    <t>T508</t>
  </si>
  <si>
    <t>T509</t>
  </si>
  <si>
    <t>T510</t>
  </si>
  <si>
    <t>T511</t>
  </si>
  <si>
    <t>T512</t>
  </si>
  <si>
    <t>T513</t>
  </si>
  <si>
    <t>T514</t>
  </si>
  <si>
    <t>T515</t>
  </si>
  <si>
    <t>T516</t>
  </si>
  <si>
    <t>T517</t>
  </si>
  <si>
    <t>T518</t>
  </si>
  <si>
    <t>T519</t>
  </si>
  <si>
    <t>T520</t>
  </si>
  <si>
    <t>T521</t>
  </si>
  <si>
    <t>T522</t>
  </si>
  <si>
    <t>T523</t>
  </si>
  <si>
    <t>T524</t>
  </si>
  <si>
    <t>T525</t>
  </si>
  <si>
    <t>T526</t>
  </si>
  <si>
    <t>T527</t>
  </si>
  <si>
    <t>T528</t>
  </si>
  <si>
    <t>T529</t>
  </si>
  <si>
    <t>T530</t>
  </si>
  <si>
    <t>T531</t>
  </si>
  <si>
    <t>T532</t>
  </si>
  <si>
    <t>T533</t>
  </si>
  <si>
    <t>T534</t>
  </si>
  <si>
    <t>T535</t>
  </si>
  <si>
    <t>T536</t>
  </si>
  <si>
    <t>T537</t>
  </si>
  <si>
    <t>T538</t>
  </si>
  <si>
    <t>T539</t>
  </si>
  <si>
    <t>T540</t>
  </si>
  <si>
    <t>T541</t>
  </si>
  <si>
    <t>T542</t>
  </si>
  <si>
    <t>T543</t>
  </si>
  <si>
    <t>T544</t>
  </si>
  <si>
    <t>T545</t>
  </si>
  <si>
    <t>T546</t>
  </si>
  <si>
    <t>T547</t>
  </si>
  <si>
    <t>T548</t>
  </si>
  <si>
    <t>T549</t>
  </si>
  <si>
    <t>T550</t>
  </si>
  <si>
    <t>T551</t>
  </si>
  <si>
    <t>T552</t>
  </si>
  <si>
    <t>T1</t>
  </si>
  <si>
    <t>GOMD-VII Gola-Pgcil</t>
  </si>
  <si>
    <t>Gola-Ranchi Portion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</si>
  <si>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</si>
  <si>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</si>
  <si>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</si>
  <si>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</si>
  <si>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</si>
  <si>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</si>
  <si>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</si>
  <si>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</si>
  <si>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</si>
  <si>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</si>
  <si>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</si>
  <si>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</si>
  <si>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</si>
  <si>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</si>
  <si>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</si>
  <si>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</si>
  <si>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</si>
  <si>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</si>
  <si>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</si>
  <si>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</si>
  <si>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</si>
  <si>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</si>
  <si>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</si>
  <si>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</si>
  <si>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</si>
  <si>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</si>
  <si>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</si>
  <si>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</si>
  <si>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</si>
  <si>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</si>
  <si>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</si>
  <si>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</si>
  <si>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</si>
  <si>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</si>
  <si>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</si>
  <si>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</si>
  <si>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</si>
  <si>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</si>
  <si>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</si>
  <si>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</si>
  <si>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</si>
  <si>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</si>
  <si>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</si>
  <si>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</si>
  <si>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</si>
  <si>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</si>
  <si>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</si>
  <si>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</si>
  <si>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</si>
  <si>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</si>
  <si>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</si>
  <si>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</si>
  <si>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</si>
  <si>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</si>
  <si>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</si>
  <si>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</si>
  <si>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</si>
  <si>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</si>
  <si>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</si>
  <si>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</si>
  <si>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</si>
  <si>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</si>
  <si>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</si>
  <si>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</si>
  <si>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</si>
  <si>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</si>
  <si>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</si>
  <si>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</si>
  <si>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</si>
  <si>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</si>
  <si>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</si>
  <si>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</si>
  <si>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</si>
  <si>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</si>
  <si>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</si>
  <si>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</si>
  <si>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</si>
  <si>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</si>
  <si>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</si>
  <si>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</si>
  <si>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</si>
  <si>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</si>
  <si>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</si>
  <si>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</si>
  <si>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</si>
  <si>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</si>
  <si>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</si>
  <si>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</si>
  <si>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</si>
  <si>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</si>
  <si>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</si>
  <si>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</si>
  <si>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</si>
  <si>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</si>
  <si>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</si>
  <si>
    <t>T97</t>
  </si>
  <si>
    <t>T98</t>
  </si>
  <si>
    <t>T99</t>
  </si>
  <si>
    <t>T162</t>
  </si>
  <si>
    <t>T191(Gantry)</t>
  </si>
  <si>
    <t>T192(Gantry)</t>
  </si>
  <si>
    <t>GNT (PGCIL)</t>
  </si>
  <si>
    <t>GNT</t>
  </si>
  <si>
    <t>GOMD-VII Gola-Rgh</t>
  </si>
  <si>
    <t xml:space="preserve">Gola Ramgarh portion </t>
  </si>
  <si>
    <t>T30/2</t>
  </si>
  <si>
    <t>T30/1</t>
  </si>
  <si>
    <t>T29/2</t>
  </si>
  <si>
    <t>T29/1</t>
  </si>
  <si>
    <t>GOMD-VII-  74 KM No of Tower :332</t>
  </si>
  <si>
    <t>ST000</t>
  </si>
  <si>
    <t>JAMSHEDPUR</t>
  </si>
  <si>
    <t>T076</t>
  </si>
  <si>
    <t>T077</t>
  </si>
  <si>
    <t>GOLA</t>
  </si>
  <si>
    <t>T278</t>
  </si>
  <si>
    <t>T279</t>
  </si>
  <si>
    <t>T283</t>
  </si>
  <si>
    <t>T284</t>
  </si>
  <si>
    <t>T348B</t>
  </si>
  <si>
    <t>T348A</t>
  </si>
  <si>
    <t>RAMGARH</t>
  </si>
  <si>
    <t>ST182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</si>
</sst>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1"/>
      <name val="Calibri"/>
      <family val="2"/>
    </font>
    <font>
      <b/>
      <sz val="10"/>
      <color theme="1"/>
      <name val="Arial"/>
      <family val="2"/>
      <scheme val="minor"/>
    </font>
    <font>
      <b/>
      <sz val="1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 applyAlignment="1">
      <alignment horizontal="center" wrapText="1"/>
    </xf>
    <xf numFmtId="0" fontId="1" fillId="3" borderId="0" xfId="0" applyFont="1" applyFill="1" applyAlignment="1">
      <alignment wrapText="1"/>
    </xf>
    <xf numFmtId="0" fontId="0" fillId="3" borderId="0" xfId="0" applyFill="1"/>
    <xf numFmtId="0" fontId="2" fillId="0" borderId="0" xfId="0" applyFont="1"/>
    <xf numFmtId="1" fontId="0" fillId="0" borderId="0" xfId="0" applyNumberFormat="1"/>
    <xf numFmtId="2" fontId="0" fillId="0" borderId="0" xfId="0" applyNumberFormat="1"/>
    <xf numFmtId="0" fontId="1" fillId="2" borderId="1" xfId="0" applyFont="1" applyFill="1" applyBorder="1" applyAlignment="1">
      <alignment wrapText="1"/>
    </xf>
    <xf numFmtId="0" fontId="0" fillId="0" borderId="1" xfId="0" applyBorder="1"/>
    <xf numFmtId="2" fontId="0" fillId="0" borderId="1" xfId="0" applyNumberFormat="1" applyBorder="1"/>
    <xf numFmtId="0" fontId="1" fillId="2" borderId="1" xfId="0" applyFont="1" applyFill="1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center" wrapText="1"/>
    </xf>
    <xf numFmtId="1" fontId="0" fillId="0" borderId="1" xfId="0" applyNumberFormat="1" applyBorder="1"/>
    <xf numFmtId="0" fontId="3" fillId="0" borderId="1" xfId="0" applyFont="1" applyBorder="1" applyAlignment="1">
      <alignment wrapText="1"/>
    </xf>
    <xf numFmtId="0" fontId="4" fillId="0" borderId="1" xfId="0" applyFont="1" applyBorder="1"/>
    <xf numFmtId="0" fontId="3" fillId="0" borderId="1" xfId="0" applyFont="1" applyBorder="1" applyAlignment="1">
      <alignment horizontal="center" wrapText="1"/>
    </xf>
    <xf numFmtId="0" fontId="4" fillId="0" borderId="0" xfId="0" applyFont="1"/>
    <xf numFmtId="0" fontId="1" fillId="3" borderId="1" xfId="0" applyFont="1" applyFill="1" applyBorder="1" applyAlignment="1">
      <alignment horizontal="center" wrapText="1"/>
    </xf>
    <xf numFmtId="0" fontId="1" fillId="3" borderId="1" xfId="0" applyFont="1" applyFill="1" applyBorder="1" applyAlignment="1">
      <alignment wrapText="1"/>
    </xf>
    <xf numFmtId="0" fontId="1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wrapText="1"/>
    </xf>
    <xf numFmtId="0" fontId="0" fillId="0" borderId="0" xfId="0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st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ist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AA1004"/>
  <sheetViews>
    <sheetView tabSelected="1" workbookViewId="0">
      <pane ySplit="1" topLeftCell="A777" activePane="bottomLeft" state="frozen"/>
      <selection pane="bottomLeft" activeCell="A2" sqref="A2"/>
    </sheetView>
  </sheetViews>
  <sheetFormatPr baseColWidth="10" defaultColWidth="12.5" defaultRowHeight="13" x14ac:dyDescent="0.15"/>
  <cols>
    <col min="5" max="5" width="15" customWidth="1"/>
    <col min="6" max="6" width="16" customWidth="1"/>
    <col min="7" max="7" width="11.5" bestFit="1" customWidth="1"/>
    <col min="8" max="8" width="19.6640625" customWidth="1"/>
  </cols>
  <sheetData>
    <row r="1" spans="1:27" ht="43" x14ac:dyDescent="0.2">
      <c r="A1" s="15" t="s">
        <v>0</v>
      </c>
      <c r="B1" s="16" t="s">
        <v>1</v>
      </c>
      <c r="C1" s="16" t="s">
        <v>2</v>
      </c>
      <c r="D1" s="16" t="s">
        <v>3</v>
      </c>
      <c r="E1" s="25" t="s">
        <v>4</v>
      </c>
      <c r="F1" s="16" t="s">
        <v>5</v>
      </c>
      <c r="G1" s="15" t="s">
        <v>6</v>
      </c>
      <c r="H1" s="17" t="s">
        <v>7</v>
      </c>
      <c r="I1" s="15" t="s">
        <v>8</v>
      </c>
    </row>
    <row r="2" spans="1:27" ht="56" x14ac:dyDescent="0.15">
      <c r="A2" s="9">
        <v>1</v>
      </c>
      <c r="B2" s="9" t="s">
        <v>9</v>
      </c>
      <c r="C2" s="9" t="s">
        <v>10</v>
      </c>
      <c r="D2" s="10">
        <v>95.05</v>
      </c>
      <c r="E2" s="10">
        <v>95.05</v>
      </c>
      <c r="F2" s="10">
        <v>90.62</v>
      </c>
      <c r="G2" s="9">
        <f>E2/1000</f>
        <v>9.5049999999999996E-2</v>
      </c>
      <c r="H2" s="13" t="s">
        <v>11</v>
      </c>
      <c r="I2" s="12" t="s">
        <v>12</v>
      </c>
      <c r="K2">
        <f>IF(J2&lt;&gt;"",J2,D2)</f>
        <v>95.05</v>
      </c>
      <c r="L2" s="1"/>
      <c r="M2" s="1"/>
      <c r="N2" s="1"/>
      <c r="T2" s="1"/>
      <c r="U2" s="1"/>
      <c r="V2" s="1"/>
      <c r="W2" s="1"/>
      <c r="X2" s="1"/>
      <c r="Y2" s="1"/>
      <c r="Z2" s="1"/>
      <c r="AA2" s="1"/>
    </row>
    <row r="3" spans="1:27" ht="34.5" customHeight="1" x14ac:dyDescent="0.15">
      <c r="A3" s="9">
        <v>2</v>
      </c>
      <c r="B3" s="9" t="s">
        <v>13</v>
      </c>
      <c r="C3" s="9" t="s">
        <v>14</v>
      </c>
      <c r="D3" s="10">
        <v>306.06</v>
      </c>
      <c r="E3" s="10">
        <v>314.56</v>
      </c>
      <c r="F3" s="10">
        <v>2.59</v>
      </c>
      <c r="G3" s="9">
        <f>E3/1000+G2</f>
        <v>0.40961000000000003</v>
      </c>
      <c r="H3" s="13" t="s">
        <v>11</v>
      </c>
      <c r="I3" s="9"/>
      <c r="J3" s="7">
        <f>D3+8.5</f>
        <v>314.56</v>
      </c>
      <c r="K3">
        <f>IF(J3&lt;&gt;"",J3,D3)</f>
        <v>314.56</v>
      </c>
      <c r="L3" s="1"/>
      <c r="M3" s="1"/>
      <c r="N3" s="1"/>
      <c r="T3" s="1"/>
      <c r="U3" s="1"/>
      <c r="V3" s="1"/>
      <c r="W3" s="1"/>
      <c r="X3" s="1"/>
      <c r="Y3" s="1"/>
      <c r="Z3" s="1"/>
      <c r="AA3" s="1"/>
    </row>
    <row r="4" spans="1:27" ht="14" x14ac:dyDescent="0.15">
      <c r="A4" s="9">
        <v>3</v>
      </c>
      <c r="B4" s="9" t="s">
        <v>15</v>
      </c>
      <c r="C4" s="9" t="s">
        <v>16</v>
      </c>
      <c r="D4" s="10">
        <v>285.08999999999997</v>
      </c>
      <c r="E4" s="10">
        <v>285.08999999999997</v>
      </c>
      <c r="F4" s="10">
        <v>13.01</v>
      </c>
      <c r="G4" s="9">
        <f t="shared" ref="G4:G67" si="0">E4/1000+G3</f>
        <v>0.69469999999999998</v>
      </c>
      <c r="H4" s="13" t="s">
        <v>11</v>
      </c>
      <c r="I4" s="12"/>
      <c r="K4">
        <f t="shared" ref="K4:K67" si="1">IF(J4&lt;&gt;"",J4,D4)</f>
        <v>285.08999999999997</v>
      </c>
      <c r="L4" s="1"/>
      <c r="M4" s="1"/>
      <c r="N4" s="1"/>
      <c r="T4" s="1"/>
      <c r="U4" s="1"/>
      <c r="V4" s="1"/>
      <c r="W4" s="1"/>
      <c r="X4" s="1"/>
      <c r="Y4" s="1"/>
      <c r="Z4" s="1"/>
      <c r="AA4" s="1"/>
    </row>
    <row r="5" spans="1:27" ht="14" x14ac:dyDescent="0.15">
      <c r="A5" s="9">
        <v>4</v>
      </c>
      <c r="B5" s="9" t="s">
        <v>17</v>
      </c>
      <c r="C5" s="9" t="s">
        <v>16</v>
      </c>
      <c r="D5" s="10">
        <v>309.25</v>
      </c>
      <c r="E5" s="10">
        <v>309.25</v>
      </c>
      <c r="F5" s="10">
        <v>1.22</v>
      </c>
      <c r="G5" s="9">
        <f t="shared" si="0"/>
        <v>1.0039500000000001</v>
      </c>
      <c r="H5" s="13" t="s">
        <v>11</v>
      </c>
      <c r="I5" s="12"/>
      <c r="K5">
        <f t="shared" si="1"/>
        <v>309.25</v>
      </c>
      <c r="L5" s="1"/>
      <c r="M5" s="1"/>
      <c r="N5" s="1"/>
      <c r="T5" s="1"/>
      <c r="U5" s="1"/>
      <c r="V5" s="1"/>
      <c r="W5" s="1"/>
      <c r="X5" s="1"/>
      <c r="Y5" s="1"/>
      <c r="Z5" s="1"/>
      <c r="AA5" s="1"/>
    </row>
    <row r="6" spans="1:27" ht="14" x14ac:dyDescent="0.15">
      <c r="A6" s="9">
        <v>5</v>
      </c>
      <c r="B6" s="9" t="s">
        <v>18</v>
      </c>
      <c r="C6" s="9" t="s">
        <v>19</v>
      </c>
      <c r="D6" s="10">
        <v>204.51</v>
      </c>
      <c r="E6" s="10">
        <v>213.01</v>
      </c>
      <c r="F6" s="10">
        <v>49.15</v>
      </c>
      <c r="G6" s="9">
        <f t="shared" si="0"/>
        <v>1.21696</v>
      </c>
      <c r="H6" s="13" t="s">
        <v>11</v>
      </c>
      <c r="I6" s="12"/>
      <c r="J6" s="7">
        <f>D6+8.5</f>
        <v>213.01</v>
      </c>
      <c r="K6">
        <f t="shared" si="1"/>
        <v>213.01</v>
      </c>
      <c r="L6" s="1"/>
      <c r="M6" s="1"/>
      <c r="N6" s="1"/>
      <c r="T6" s="1"/>
      <c r="U6" s="1"/>
      <c r="V6" s="1"/>
      <c r="W6" s="1"/>
      <c r="X6" s="1"/>
      <c r="Y6" s="1"/>
      <c r="Z6" s="1"/>
      <c r="AA6" s="1"/>
    </row>
    <row r="7" spans="1:27" ht="14" x14ac:dyDescent="0.15">
      <c r="A7" s="9">
        <v>6</v>
      </c>
      <c r="B7" s="9" t="s">
        <v>20</v>
      </c>
      <c r="C7" s="9" t="s">
        <v>16</v>
      </c>
      <c r="D7" s="10">
        <v>345</v>
      </c>
      <c r="E7" s="10">
        <v>345</v>
      </c>
      <c r="F7" s="10">
        <v>3.35</v>
      </c>
      <c r="G7" s="9">
        <f t="shared" si="0"/>
        <v>1.56196</v>
      </c>
      <c r="H7" s="13" t="s">
        <v>11</v>
      </c>
      <c r="I7" s="12"/>
      <c r="K7">
        <f t="shared" si="1"/>
        <v>345</v>
      </c>
      <c r="L7" s="1"/>
      <c r="M7" s="1"/>
      <c r="N7" s="1"/>
      <c r="T7" s="1"/>
      <c r="U7" s="1"/>
      <c r="V7" s="1"/>
      <c r="W7" s="1"/>
      <c r="X7" s="1"/>
      <c r="Y7" s="1"/>
      <c r="Z7" s="1"/>
      <c r="AA7" s="1"/>
    </row>
    <row r="8" spans="1:27" ht="14" x14ac:dyDescent="0.15">
      <c r="A8" s="9">
        <v>7</v>
      </c>
      <c r="B8" s="9" t="s">
        <v>21</v>
      </c>
      <c r="C8" s="9" t="s">
        <v>19</v>
      </c>
      <c r="D8" s="10">
        <v>320.85000000000002</v>
      </c>
      <c r="E8" s="10">
        <v>329.35</v>
      </c>
      <c r="F8" s="10">
        <v>17.13</v>
      </c>
      <c r="G8" s="9">
        <f t="shared" si="0"/>
        <v>1.89131</v>
      </c>
      <c r="H8" s="13" t="s">
        <v>11</v>
      </c>
      <c r="I8" s="12"/>
      <c r="J8" s="7">
        <f>D8+8.5</f>
        <v>329.35</v>
      </c>
      <c r="K8">
        <f t="shared" si="1"/>
        <v>329.35</v>
      </c>
      <c r="L8" s="1"/>
      <c r="M8" s="1"/>
      <c r="N8" s="1"/>
      <c r="T8" s="1"/>
      <c r="U8" s="1"/>
      <c r="V8" s="1"/>
      <c r="W8" s="1"/>
      <c r="X8" s="1"/>
      <c r="Y8" s="1"/>
      <c r="Z8" s="1"/>
      <c r="AA8" s="1"/>
    </row>
    <row r="9" spans="1:27" ht="14" x14ac:dyDescent="0.15">
      <c r="A9" s="9">
        <v>8</v>
      </c>
      <c r="B9" s="9" t="s">
        <v>22</v>
      </c>
      <c r="C9" s="9" t="s">
        <v>23</v>
      </c>
      <c r="D9" s="10">
        <v>252.38</v>
      </c>
      <c r="E9" s="10">
        <v>252.38</v>
      </c>
      <c r="F9" s="10">
        <v>1.61</v>
      </c>
      <c r="G9" s="9">
        <f t="shared" si="0"/>
        <v>2.1436899999999999</v>
      </c>
      <c r="H9" s="13" t="s">
        <v>11</v>
      </c>
      <c r="I9" s="12"/>
      <c r="K9">
        <f t="shared" si="1"/>
        <v>252.38</v>
      </c>
      <c r="L9" s="1"/>
      <c r="M9" s="1"/>
      <c r="N9" s="1"/>
      <c r="T9" s="1"/>
      <c r="U9" s="1"/>
      <c r="V9" s="1"/>
      <c r="W9" s="1"/>
      <c r="X9" s="1"/>
      <c r="Y9" s="1"/>
      <c r="Z9" s="1"/>
      <c r="AA9" s="1"/>
    </row>
    <row r="10" spans="1:27" ht="14" x14ac:dyDescent="0.15">
      <c r="A10" s="9">
        <v>9</v>
      </c>
      <c r="B10" s="9" t="s">
        <v>24</v>
      </c>
      <c r="C10" s="9" t="s">
        <v>23</v>
      </c>
      <c r="D10" s="10">
        <v>327.86</v>
      </c>
      <c r="E10" s="10">
        <v>327.86</v>
      </c>
      <c r="F10" s="10">
        <v>0.99</v>
      </c>
      <c r="G10" s="9">
        <f t="shared" si="0"/>
        <v>2.4715499999999997</v>
      </c>
      <c r="H10" s="13" t="s">
        <v>11</v>
      </c>
      <c r="I10" s="12"/>
      <c r="K10">
        <f t="shared" si="1"/>
        <v>327.86</v>
      </c>
      <c r="L10" s="1"/>
      <c r="M10" s="1"/>
      <c r="N10" s="1"/>
      <c r="T10" s="1"/>
      <c r="U10" s="1"/>
      <c r="V10" s="1"/>
      <c r="W10" s="1"/>
      <c r="X10" s="1"/>
      <c r="Y10" s="1"/>
      <c r="Z10" s="1"/>
      <c r="AA10" s="1"/>
    </row>
    <row r="11" spans="1:27" ht="14" x14ac:dyDescent="0.15">
      <c r="A11" s="9">
        <v>10</v>
      </c>
      <c r="B11" s="9" t="s">
        <v>25</v>
      </c>
      <c r="C11" s="9" t="s">
        <v>19</v>
      </c>
      <c r="D11" s="10">
        <v>333.7</v>
      </c>
      <c r="E11" s="10">
        <v>342.2</v>
      </c>
      <c r="F11" s="10">
        <v>42.48</v>
      </c>
      <c r="G11" s="9">
        <f t="shared" si="0"/>
        <v>2.8137499999999998</v>
      </c>
      <c r="H11" s="13" t="s">
        <v>11</v>
      </c>
      <c r="I11" s="12"/>
      <c r="J11" s="7">
        <f>D11+8.5</f>
        <v>342.2</v>
      </c>
      <c r="K11">
        <f t="shared" si="1"/>
        <v>342.2</v>
      </c>
      <c r="L11" s="1"/>
      <c r="M11" s="1"/>
      <c r="N11" s="1"/>
      <c r="T11" s="1"/>
      <c r="U11" s="1"/>
      <c r="V11" s="1"/>
      <c r="W11" s="1"/>
      <c r="X11" s="1"/>
      <c r="Y11" s="1"/>
      <c r="Z11" s="1"/>
      <c r="AA11" s="1"/>
    </row>
    <row r="12" spans="1:27" ht="14" x14ac:dyDescent="0.15">
      <c r="A12" s="9">
        <v>11</v>
      </c>
      <c r="B12" s="9" t="s">
        <v>26</v>
      </c>
      <c r="C12" s="9" t="s">
        <v>23</v>
      </c>
      <c r="D12" s="10">
        <v>263.17</v>
      </c>
      <c r="E12" s="10">
        <v>263.17</v>
      </c>
      <c r="F12" s="10">
        <v>0.08</v>
      </c>
      <c r="G12" s="9">
        <f t="shared" si="0"/>
        <v>3.0769199999999999</v>
      </c>
      <c r="H12" s="13" t="s">
        <v>11</v>
      </c>
      <c r="I12" s="12"/>
      <c r="K12">
        <f t="shared" si="1"/>
        <v>263.17</v>
      </c>
      <c r="L12" s="1"/>
      <c r="M12" s="1"/>
      <c r="N12" s="1"/>
      <c r="T12" s="1"/>
      <c r="U12" s="1"/>
      <c r="V12" s="1"/>
      <c r="W12" s="1"/>
      <c r="X12" s="1"/>
      <c r="Y12" s="1"/>
      <c r="Z12" s="1"/>
      <c r="AA12" s="1"/>
    </row>
    <row r="13" spans="1:27" ht="14" x14ac:dyDescent="0.15">
      <c r="A13" s="9">
        <v>12</v>
      </c>
      <c r="B13" s="9" t="s">
        <v>27</v>
      </c>
      <c r="C13" s="9" t="s">
        <v>28</v>
      </c>
      <c r="D13" s="10">
        <v>273.69</v>
      </c>
      <c r="E13" s="10">
        <v>282.19</v>
      </c>
      <c r="F13" s="10">
        <v>25.62</v>
      </c>
      <c r="G13" s="9">
        <f t="shared" si="0"/>
        <v>3.3591099999999998</v>
      </c>
      <c r="H13" s="13" t="s">
        <v>11</v>
      </c>
      <c r="I13" s="12"/>
      <c r="J13" s="7">
        <f>D13+8.5</f>
        <v>282.19</v>
      </c>
      <c r="K13">
        <f t="shared" si="1"/>
        <v>282.19</v>
      </c>
      <c r="L13" s="1"/>
      <c r="M13" s="1"/>
      <c r="N13" s="1"/>
      <c r="T13" s="1"/>
      <c r="U13" s="1"/>
      <c r="V13" s="1"/>
      <c r="W13" s="1"/>
      <c r="X13" s="1"/>
      <c r="Y13" s="1"/>
      <c r="Z13" s="1"/>
      <c r="AA13" s="1"/>
    </row>
    <row r="14" spans="1:27" ht="14" x14ac:dyDescent="0.15">
      <c r="A14" s="9">
        <v>13</v>
      </c>
      <c r="B14" s="9" t="s">
        <v>29</v>
      </c>
      <c r="C14" s="9" t="s">
        <v>23</v>
      </c>
      <c r="D14" s="10">
        <v>333.32</v>
      </c>
      <c r="E14" s="10">
        <v>333.32</v>
      </c>
      <c r="F14" s="10">
        <v>1.02</v>
      </c>
      <c r="G14" s="9">
        <f t="shared" si="0"/>
        <v>3.6924299999999999</v>
      </c>
      <c r="H14" s="13" t="s">
        <v>11</v>
      </c>
      <c r="I14" s="12"/>
      <c r="K14">
        <f t="shared" si="1"/>
        <v>333.32</v>
      </c>
      <c r="L14" s="1"/>
      <c r="M14" s="1"/>
      <c r="N14" s="1"/>
      <c r="T14" s="1"/>
      <c r="U14" s="1"/>
      <c r="V14" s="1"/>
      <c r="W14" s="1"/>
      <c r="X14" s="1"/>
      <c r="Y14" s="1"/>
      <c r="Z14" s="1"/>
      <c r="AA14" s="1"/>
    </row>
    <row r="15" spans="1:27" ht="14" x14ac:dyDescent="0.15">
      <c r="A15" s="9">
        <v>14</v>
      </c>
      <c r="B15" s="9" t="s">
        <v>30</v>
      </c>
      <c r="C15" s="9" t="s">
        <v>28</v>
      </c>
      <c r="D15" s="10">
        <v>302.68</v>
      </c>
      <c r="E15" s="10">
        <v>311.18</v>
      </c>
      <c r="F15" s="10">
        <v>23.62</v>
      </c>
      <c r="G15" s="9">
        <f t="shared" si="0"/>
        <v>4.0036100000000001</v>
      </c>
      <c r="H15" s="13" t="s">
        <v>11</v>
      </c>
      <c r="I15" s="12"/>
      <c r="J15" s="7">
        <f t="shared" ref="J15:J16" si="2">D15+8.5</f>
        <v>311.18</v>
      </c>
      <c r="K15">
        <f t="shared" si="1"/>
        <v>311.18</v>
      </c>
      <c r="L15" s="1"/>
      <c r="M15" s="1"/>
      <c r="N15" s="1"/>
      <c r="T15" s="1"/>
      <c r="U15" s="1"/>
      <c r="V15" s="1"/>
      <c r="W15" s="1"/>
      <c r="X15" s="1"/>
      <c r="Y15" s="1"/>
      <c r="Z15" s="1"/>
      <c r="AA15" s="1"/>
    </row>
    <row r="16" spans="1:27" ht="14" x14ac:dyDescent="0.15">
      <c r="A16" s="9">
        <v>15</v>
      </c>
      <c r="B16" s="9" t="s">
        <v>31</v>
      </c>
      <c r="C16" s="9" t="s">
        <v>28</v>
      </c>
      <c r="D16" s="10">
        <v>335.58</v>
      </c>
      <c r="E16" s="10">
        <v>344.08</v>
      </c>
      <c r="F16" s="10">
        <v>21.59</v>
      </c>
      <c r="G16" s="9">
        <f t="shared" si="0"/>
        <v>4.3476900000000001</v>
      </c>
      <c r="H16" s="13" t="s">
        <v>11</v>
      </c>
      <c r="I16" s="12"/>
      <c r="J16" s="7">
        <f t="shared" si="2"/>
        <v>344.08</v>
      </c>
      <c r="K16">
        <f t="shared" si="1"/>
        <v>344.08</v>
      </c>
      <c r="L16" s="1"/>
      <c r="M16" s="1"/>
      <c r="N16" s="1"/>
      <c r="T16" s="1"/>
      <c r="U16" s="1"/>
      <c r="V16" s="1"/>
      <c r="W16" s="1"/>
      <c r="X16" s="1"/>
      <c r="Y16" s="1"/>
      <c r="Z16" s="1"/>
      <c r="AA16" s="1"/>
    </row>
    <row r="17" spans="1:27" ht="14" x14ac:dyDescent="0.15">
      <c r="A17" s="9">
        <v>16</v>
      </c>
      <c r="B17" s="9" t="s">
        <v>32</v>
      </c>
      <c r="C17" s="9" t="s">
        <v>23</v>
      </c>
      <c r="D17" s="10">
        <v>260.22000000000003</v>
      </c>
      <c r="E17" s="10">
        <v>260.22000000000003</v>
      </c>
      <c r="F17" s="10">
        <v>0.14000000000000001</v>
      </c>
      <c r="G17" s="9">
        <f t="shared" si="0"/>
        <v>4.6079100000000004</v>
      </c>
      <c r="H17" s="13" t="s">
        <v>11</v>
      </c>
      <c r="I17" s="12"/>
      <c r="K17">
        <f t="shared" si="1"/>
        <v>260.22000000000003</v>
      </c>
      <c r="L17" s="1"/>
      <c r="M17" s="1"/>
      <c r="N17" s="1"/>
      <c r="T17" s="1"/>
      <c r="U17" s="1"/>
      <c r="V17" s="1"/>
      <c r="W17" s="1"/>
      <c r="X17" s="1"/>
      <c r="Y17" s="1"/>
      <c r="Z17" s="1"/>
      <c r="AA17" s="1"/>
    </row>
    <row r="18" spans="1:27" ht="14" x14ac:dyDescent="0.15">
      <c r="A18" s="9">
        <v>17</v>
      </c>
      <c r="B18" s="9" t="s">
        <v>33</v>
      </c>
      <c r="C18" s="9" t="s">
        <v>16</v>
      </c>
      <c r="D18" s="10">
        <v>349.1</v>
      </c>
      <c r="E18" s="10">
        <v>349.1</v>
      </c>
      <c r="F18" s="10">
        <v>3.13</v>
      </c>
      <c r="G18" s="9">
        <f t="shared" si="0"/>
        <v>4.9570100000000004</v>
      </c>
      <c r="H18" s="13" t="s">
        <v>11</v>
      </c>
      <c r="I18" s="12"/>
      <c r="K18">
        <f t="shared" si="1"/>
        <v>349.1</v>
      </c>
      <c r="L18" s="1"/>
      <c r="M18" s="1"/>
      <c r="N18" s="1"/>
      <c r="T18" s="1"/>
      <c r="U18" s="1"/>
      <c r="V18" s="1"/>
      <c r="W18" s="1"/>
      <c r="X18" s="1"/>
      <c r="Y18" s="1"/>
      <c r="Z18" s="1"/>
      <c r="AA18" s="1"/>
    </row>
    <row r="19" spans="1:27" ht="14" x14ac:dyDescent="0.15">
      <c r="A19" s="9">
        <v>18</v>
      </c>
      <c r="B19" s="9" t="s">
        <v>34</v>
      </c>
      <c r="C19" s="9" t="s">
        <v>19</v>
      </c>
      <c r="D19" s="10">
        <v>176.52</v>
      </c>
      <c r="E19" s="10">
        <v>185.02</v>
      </c>
      <c r="F19" s="10">
        <v>52.14</v>
      </c>
      <c r="G19" s="9">
        <f t="shared" si="0"/>
        <v>5.1420300000000001</v>
      </c>
      <c r="H19" s="13" t="s">
        <v>11</v>
      </c>
      <c r="I19" s="12"/>
      <c r="J19" s="7">
        <f>D19+8.5</f>
        <v>185.02</v>
      </c>
      <c r="K19">
        <f t="shared" si="1"/>
        <v>185.02</v>
      </c>
      <c r="L19" s="1"/>
      <c r="M19" s="1"/>
      <c r="N19" s="1"/>
      <c r="T19" s="1"/>
      <c r="U19" s="1"/>
      <c r="V19" s="1"/>
      <c r="W19" s="1"/>
      <c r="X19" s="1"/>
      <c r="Y19" s="1"/>
      <c r="Z19" s="1"/>
      <c r="AA19" s="1"/>
    </row>
    <row r="20" spans="1:27" ht="14" x14ac:dyDescent="0.15">
      <c r="A20" s="9">
        <v>19</v>
      </c>
      <c r="B20" s="9" t="s">
        <v>35</v>
      </c>
      <c r="C20" s="9" t="s">
        <v>16</v>
      </c>
      <c r="D20" s="10">
        <v>292.26</v>
      </c>
      <c r="E20" s="10">
        <v>292.26</v>
      </c>
      <c r="F20" s="10">
        <v>0.12</v>
      </c>
      <c r="G20" s="9">
        <f t="shared" si="0"/>
        <v>5.4342899999999998</v>
      </c>
      <c r="H20" s="13" t="s">
        <v>11</v>
      </c>
      <c r="I20" s="12"/>
      <c r="K20">
        <f t="shared" si="1"/>
        <v>292.26</v>
      </c>
      <c r="L20" s="1"/>
      <c r="M20" s="1"/>
      <c r="N20" s="1"/>
      <c r="T20" s="1"/>
      <c r="U20" s="1"/>
      <c r="V20" s="1"/>
      <c r="W20" s="1"/>
      <c r="X20" s="1"/>
      <c r="Y20" s="1"/>
      <c r="Z20" s="1"/>
      <c r="AA20" s="1"/>
    </row>
    <row r="21" spans="1:27" ht="14" x14ac:dyDescent="0.15">
      <c r="A21" s="9">
        <v>20</v>
      </c>
      <c r="B21" s="9" t="s">
        <v>36</v>
      </c>
      <c r="C21" s="9" t="s">
        <v>16</v>
      </c>
      <c r="D21" s="10">
        <v>373.96</v>
      </c>
      <c r="E21" s="10">
        <v>373.96</v>
      </c>
      <c r="F21" s="10">
        <v>2.09</v>
      </c>
      <c r="G21" s="9">
        <f t="shared" si="0"/>
        <v>5.8082500000000001</v>
      </c>
      <c r="H21" s="13" t="s">
        <v>11</v>
      </c>
      <c r="I21" s="12"/>
      <c r="K21">
        <f t="shared" si="1"/>
        <v>373.96</v>
      </c>
      <c r="L21" s="1"/>
      <c r="M21" s="1"/>
      <c r="N21" s="1"/>
      <c r="T21" s="1"/>
      <c r="U21" s="1"/>
      <c r="V21" s="1"/>
      <c r="W21" s="1"/>
      <c r="X21" s="1"/>
      <c r="Y21" s="1"/>
      <c r="Z21" s="1"/>
      <c r="AA21" s="1"/>
    </row>
    <row r="22" spans="1:27" ht="14" x14ac:dyDescent="0.15">
      <c r="A22" s="9">
        <v>21</v>
      </c>
      <c r="B22" s="9" t="s">
        <v>37</v>
      </c>
      <c r="C22" s="9" t="s">
        <v>19</v>
      </c>
      <c r="D22" s="10">
        <v>345.44</v>
      </c>
      <c r="E22" s="10">
        <v>353.94</v>
      </c>
      <c r="F22" s="10">
        <v>8.2200000000000006</v>
      </c>
      <c r="G22" s="9">
        <f t="shared" si="0"/>
        <v>6.1621899999999998</v>
      </c>
      <c r="H22" s="13" t="s">
        <v>11</v>
      </c>
      <c r="I22" s="12"/>
      <c r="J22" s="7">
        <f>D22+8.5</f>
        <v>353.94</v>
      </c>
      <c r="K22">
        <f t="shared" si="1"/>
        <v>353.94</v>
      </c>
      <c r="L22" s="1"/>
      <c r="M22" s="1"/>
      <c r="N22" s="1"/>
      <c r="T22" s="1"/>
      <c r="U22" s="1"/>
      <c r="V22" s="1"/>
      <c r="W22" s="1"/>
      <c r="X22" s="1"/>
      <c r="Y22" s="1"/>
      <c r="Z22" s="1"/>
      <c r="AA22" s="1"/>
    </row>
    <row r="23" spans="1:27" ht="14" x14ac:dyDescent="0.15">
      <c r="A23" s="9">
        <v>22</v>
      </c>
      <c r="B23" s="9" t="s">
        <v>38</v>
      </c>
      <c r="C23" s="9" t="s">
        <v>16</v>
      </c>
      <c r="D23" s="10">
        <v>186.37</v>
      </c>
      <c r="E23" s="10">
        <v>186.37</v>
      </c>
      <c r="F23" s="10">
        <v>0.87</v>
      </c>
      <c r="G23" s="9">
        <f t="shared" si="0"/>
        <v>6.34856</v>
      </c>
      <c r="H23" s="13" t="s">
        <v>11</v>
      </c>
      <c r="I23" s="12"/>
      <c r="K23">
        <f t="shared" si="1"/>
        <v>186.37</v>
      </c>
      <c r="L23" s="1"/>
      <c r="M23" s="1"/>
      <c r="N23" s="1"/>
      <c r="T23" s="1"/>
      <c r="U23" s="1"/>
      <c r="V23" s="1"/>
      <c r="W23" s="1"/>
      <c r="X23" s="1"/>
      <c r="Y23" s="1"/>
      <c r="Z23" s="1"/>
      <c r="AA23" s="1"/>
    </row>
    <row r="24" spans="1:27" ht="14" x14ac:dyDescent="0.15">
      <c r="A24" s="9">
        <v>23</v>
      </c>
      <c r="B24" s="9" t="s">
        <v>39</v>
      </c>
      <c r="C24" s="9" t="s">
        <v>19</v>
      </c>
      <c r="D24" s="10">
        <v>270.76</v>
      </c>
      <c r="E24" s="10">
        <v>279.26</v>
      </c>
      <c r="F24" s="10">
        <v>25.37</v>
      </c>
      <c r="G24" s="9">
        <f t="shared" si="0"/>
        <v>6.6278199999999998</v>
      </c>
      <c r="H24" s="13" t="s">
        <v>11</v>
      </c>
      <c r="I24" s="12"/>
      <c r="J24" s="7">
        <f t="shared" ref="J24:J25" si="3">D24+8.5</f>
        <v>279.26</v>
      </c>
      <c r="K24">
        <f t="shared" si="1"/>
        <v>279.26</v>
      </c>
      <c r="L24" s="1"/>
      <c r="M24" s="1"/>
      <c r="N24" s="1"/>
      <c r="T24" s="1"/>
      <c r="U24" s="1"/>
      <c r="V24" s="1"/>
      <c r="W24" s="1"/>
      <c r="X24" s="1"/>
      <c r="Y24" s="1"/>
      <c r="Z24" s="1"/>
      <c r="AA24" s="1"/>
    </row>
    <row r="25" spans="1:27" ht="14" x14ac:dyDescent="0.15">
      <c r="A25" s="9">
        <v>24</v>
      </c>
      <c r="B25" s="9" t="s">
        <v>40</v>
      </c>
      <c r="C25" s="9" t="s">
        <v>19</v>
      </c>
      <c r="D25" s="10">
        <v>351.89</v>
      </c>
      <c r="E25" s="10">
        <v>360.39</v>
      </c>
      <c r="F25" s="10">
        <v>15.94</v>
      </c>
      <c r="G25" s="9">
        <f t="shared" si="0"/>
        <v>6.9882099999999996</v>
      </c>
      <c r="H25" s="13" t="s">
        <v>11</v>
      </c>
      <c r="I25" s="12"/>
      <c r="J25" s="7">
        <f t="shared" si="3"/>
        <v>360.39</v>
      </c>
      <c r="K25">
        <f t="shared" si="1"/>
        <v>360.39</v>
      </c>
      <c r="L25" s="1"/>
      <c r="M25" s="1"/>
      <c r="N25" s="1"/>
      <c r="T25" s="1"/>
      <c r="U25" s="1"/>
      <c r="V25" s="1"/>
      <c r="W25" s="1"/>
      <c r="X25" s="1"/>
      <c r="Y25" s="1"/>
      <c r="Z25" s="1"/>
      <c r="AA25" s="1"/>
    </row>
    <row r="26" spans="1:27" ht="14" x14ac:dyDescent="0.15">
      <c r="A26" s="9">
        <v>25</v>
      </c>
      <c r="B26" s="9" t="s">
        <v>41</v>
      </c>
      <c r="C26" s="9" t="s">
        <v>23</v>
      </c>
      <c r="D26" s="10">
        <v>307.39</v>
      </c>
      <c r="E26" s="10">
        <v>307.39</v>
      </c>
      <c r="F26" s="10">
        <v>0.34</v>
      </c>
      <c r="G26" s="9">
        <f t="shared" si="0"/>
        <v>7.2955999999999994</v>
      </c>
      <c r="H26" s="13" t="s">
        <v>11</v>
      </c>
      <c r="I26" s="12"/>
      <c r="K26">
        <f t="shared" si="1"/>
        <v>307.39</v>
      </c>
      <c r="L26" s="1"/>
      <c r="M26" s="1"/>
      <c r="N26" s="1"/>
      <c r="T26" s="1"/>
      <c r="U26" s="1"/>
      <c r="V26" s="1"/>
      <c r="W26" s="1"/>
      <c r="X26" s="1"/>
      <c r="Y26" s="1"/>
      <c r="Z26" s="1"/>
      <c r="AA26" s="1"/>
    </row>
    <row r="27" spans="1:27" ht="14" x14ac:dyDescent="0.15">
      <c r="A27" s="9">
        <v>26</v>
      </c>
      <c r="B27" s="9" t="s">
        <v>42</v>
      </c>
      <c r="C27" s="9" t="s">
        <v>23</v>
      </c>
      <c r="D27" s="10">
        <v>331.74</v>
      </c>
      <c r="E27" s="10">
        <v>331.74</v>
      </c>
      <c r="F27" s="10">
        <v>0.23</v>
      </c>
      <c r="G27" s="9">
        <f t="shared" si="0"/>
        <v>7.6273399999999993</v>
      </c>
      <c r="H27" s="13" t="s">
        <v>11</v>
      </c>
      <c r="I27" s="12"/>
      <c r="K27">
        <f t="shared" si="1"/>
        <v>331.74</v>
      </c>
      <c r="L27" s="1"/>
      <c r="M27" s="1"/>
      <c r="N27" s="1"/>
      <c r="T27" s="1"/>
      <c r="U27" s="1"/>
      <c r="V27" s="1"/>
      <c r="W27" s="1"/>
      <c r="X27" s="1"/>
      <c r="Y27" s="1"/>
      <c r="Z27" s="1"/>
      <c r="AA27" s="1"/>
    </row>
    <row r="28" spans="1:27" ht="14" x14ac:dyDescent="0.15">
      <c r="A28" s="9">
        <v>27</v>
      </c>
      <c r="B28" s="9" t="s">
        <v>43</v>
      </c>
      <c r="C28" s="9" t="s">
        <v>19</v>
      </c>
      <c r="D28" s="10">
        <v>279.66000000000003</v>
      </c>
      <c r="E28" s="10">
        <v>288.16000000000003</v>
      </c>
      <c r="F28" s="10">
        <v>39.68</v>
      </c>
      <c r="G28" s="9">
        <f t="shared" si="0"/>
        <v>7.9154999999999998</v>
      </c>
      <c r="H28" s="13" t="s">
        <v>11</v>
      </c>
      <c r="I28" s="12"/>
      <c r="J28" s="7">
        <f>D28+8.5</f>
        <v>288.16000000000003</v>
      </c>
      <c r="K28">
        <f t="shared" si="1"/>
        <v>288.16000000000003</v>
      </c>
      <c r="L28" s="1"/>
      <c r="M28" s="1"/>
      <c r="N28" s="1"/>
      <c r="T28" s="1"/>
      <c r="U28" s="1"/>
      <c r="V28" s="1"/>
      <c r="W28" s="1"/>
      <c r="X28" s="1"/>
      <c r="Y28" s="1"/>
      <c r="Z28" s="1"/>
      <c r="AA28" s="1"/>
    </row>
    <row r="29" spans="1:27" ht="14" x14ac:dyDescent="0.15">
      <c r="A29" s="9">
        <v>28</v>
      </c>
      <c r="B29" s="9" t="s">
        <v>44</v>
      </c>
      <c r="C29" s="9" t="s">
        <v>23</v>
      </c>
      <c r="D29" s="10">
        <v>353.73</v>
      </c>
      <c r="E29" s="10">
        <v>353.73</v>
      </c>
      <c r="F29" s="10">
        <v>0.79</v>
      </c>
      <c r="G29" s="9">
        <f t="shared" si="0"/>
        <v>8.2692300000000003</v>
      </c>
      <c r="H29" s="13" t="s">
        <v>11</v>
      </c>
      <c r="I29" s="12"/>
      <c r="K29">
        <f t="shared" si="1"/>
        <v>353.73</v>
      </c>
      <c r="L29" s="1"/>
      <c r="M29" s="1"/>
      <c r="N29" s="1"/>
      <c r="T29" s="1"/>
      <c r="U29" s="1"/>
      <c r="V29" s="1"/>
      <c r="W29" s="1"/>
      <c r="X29" s="1"/>
      <c r="Y29" s="1"/>
      <c r="Z29" s="1"/>
      <c r="AA29" s="1"/>
    </row>
    <row r="30" spans="1:27" ht="14" x14ac:dyDescent="0.15">
      <c r="A30" s="9">
        <v>29</v>
      </c>
      <c r="B30" s="9" t="s">
        <v>45</v>
      </c>
      <c r="C30" s="9" t="s">
        <v>23</v>
      </c>
      <c r="D30" s="10">
        <v>321.87</v>
      </c>
      <c r="E30" s="10">
        <v>321.87</v>
      </c>
      <c r="F30" s="10">
        <v>0.78</v>
      </c>
      <c r="G30" s="9">
        <f t="shared" si="0"/>
        <v>8.5911000000000008</v>
      </c>
      <c r="H30" s="13" t="s">
        <v>11</v>
      </c>
      <c r="I30" s="12"/>
      <c r="K30">
        <f t="shared" si="1"/>
        <v>321.87</v>
      </c>
      <c r="L30" s="1"/>
      <c r="M30" s="1"/>
      <c r="N30" s="1"/>
      <c r="T30" s="1"/>
      <c r="U30" s="1"/>
      <c r="V30" s="1"/>
      <c r="W30" s="1"/>
      <c r="X30" s="1"/>
      <c r="Y30" s="1"/>
      <c r="Z30" s="1"/>
      <c r="AA30" s="1"/>
    </row>
    <row r="31" spans="1:27" ht="14" x14ac:dyDescent="0.15">
      <c r="A31" s="9">
        <v>30</v>
      </c>
      <c r="B31" s="9" t="s">
        <v>46</v>
      </c>
      <c r="C31" s="9" t="s">
        <v>23</v>
      </c>
      <c r="D31" s="10">
        <v>352.88</v>
      </c>
      <c r="E31" s="10">
        <v>352.88</v>
      </c>
      <c r="F31" s="10">
        <v>0.31</v>
      </c>
      <c r="G31" s="9">
        <f t="shared" si="0"/>
        <v>8.9439800000000016</v>
      </c>
      <c r="H31" s="13" t="s">
        <v>11</v>
      </c>
      <c r="I31" s="12"/>
      <c r="K31">
        <f t="shared" si="1"/>
        <v>352.88</v>
      </c>
      <c r="L31" s="1"/>
      <c r="M31" s="1"/>
      <c r="N31" s="1"/>
      <c r="T31" s="1"/>
      <c r="U31" s="1"/>
      <c r="V31" s="1"/>
      <c r="W31" s="1"/>
      <c r="X31" s="1"/>
      <c r="Y31" s="1"/>
      <c r="Z31" s="1"/>
      <c r="AA31" s="1"/>
    </row>
    <row r="32" spans="1:27" ht="14" x14ac:dyDescent="0.15">
      <c r="A32" s="9">
        <v>31</v>
      </c>
      <c r="B32" s="9" t="s">
        <v>47</v>
      </c>
      <c r="C32" s="9" t="s">
        <v>23</v>
      </c>
      <c r="D32" s="10">
        <v>325.11</v>
      </c>
      <c r="E32" s="10">
        <v>325.11</v>
      </c>
      <c r="F32" s="10">
        <v>0.24</v>
      </c>
      <c r="G32" s="9">
        <f t="shared" si="0"/>
        <v>9.269090000000002</v>
      </c>
      <c r="H32" s="13" t="s">
        <v>11</v>
      </c>
      <c r="I32" s="12"/>
      <c r="K32">
        <f t="shared" si="1"/>
        <v>325.11</v>
      </c>
      <c r="L32" s="1"/>
      <c r="M32" s="1"/>
      <c r="N32" s="1"/>
      <c r="T32" s="1"/>
      <c r="U32" s="1"/>
      <c r="V32" s="1"/>
      <c r="W32" s="1"/>
      <c r="X32" s="1"/>
      <c r="Y32" s="1"/>
      <c r="Z32" s="1"/>
      <c r="AA32" s="1"/>
    </row>
    <row r="33" spans="1:27" ht="14" x14ac:dyDescent="0.15">
      <c r="A33" s="9">
        <v>32</v>
      </c>
      <c r="B33" s="9" t="s">
        <v>48</v>
      </c>
      <c r="C33" s="9" t="s">
        <v>23</v>
      </c>
      <c r="D33" s="10">
        <v>320.45999999999998</v>
      </c>
      <c r="E33" s="10">
        <v>320.45999999999998</v>
      </c>
      <c r="F33" s="10">
        <v>0.03</v>
      </c>
      <c r="G33" s="9">
        <f t="shared" si="0"/>
        <v>9.5895500000000027</v>
      </c>
      <c r="H33" s="13" t="s">
        <v>11</v>
      </c>
      <c r="I33" s="12"/>
      <c r="K33">
        <f t="shared" si="1"/>
        <v>320.45999999999998</v>
      </c>
      <c r="L33" s="1"/>
      <c r="M33" s="1"/>
      <c r="N33" s="1"/>
      <c r="T33" s="1"/>
      <c r="U33" s="1"/>
      <c r="V33" s="1"/>
      <c r="W33" s="1"/>
      <c r="X33" s="1"/>
      <c r="Y33" s="1"/>
      <c r="Z33" s="1"/>
      <c r="AA33" s="1"/>
    </row>
    <row r="34" spans="1:27" ht="14" x14ac:dyDescent="0.15">
      <c r="A34" s="9">
        <v>33</v>
      </c>
      <c r="B34" s="9" t="s">
        <v>49</v>
      </c>
      <c r="C34" s="9" t="s">
        <v>23</v>
      </c>
      <c r="D34" s="10">
        <v>281.5</v>
      </c>
      <c r="E34" s="10">
        <v>281.5</v>
      </c>
      <c r="F34" s="10">
        <v>0.08</v>
      </c>
      <c r="G34" s="9">
        <f t="shared" si="0"/>
        <v>9.8710500000000021</v>
      </c>
      <c r="H34" s="13" t="s">
        <v>11</v>
      </c>
      <c r="I34" s="12"/>
      <c r="K34">
        <f t="shared" si="1"/>
        <v>281.5</v>
      </c>
      <c r="L34" s="1"/>
      <c r="M34" s="1"/>
      <c r="N34" s="1"/>
      <c r="T34" s="1"/>
      <c r="U34" s="1"/>
      <c r="V34" s="1"/>
      <c r="W34" s="1"/>
      <c r="X34" s="1"/>
      <c r="Y34" s="1"/>
      <c r="Z34" s="1"/>
      <c r="AA34" s="1"/>
    </row>
    <row r="35" spans="1:27" ht="14" x14ac:dyDescent="0.15">
      <c r="A35" s="9">
        <v>34</v>
      </c>
      <c r="B35" s="9" t="s">
        <v>50</v>
      </c>
      <c r="C35" s="9" t="s">
        <v>23</v>
      </c>
      <c r="D35" s="10">
        <v>340.45</v>
      </c>
      <c r="E35" s="10">
        <v>340.45</v>
      </c>
      <c r="F35" s="10">
        <v>0.28000000000000003</v>
      </c>
      <c r="G35" s="9">
        <f t="shared" si="0"/>
        <v>10.211500000000003</v>
      </c>
      <c r="H35" s="13" t="s">
        <v>11</v>
      </c>
      <c r="I35" s="12"/>
      <c r="K35">
        <f t="shared" si="1"/>
        <v>340.45</v>
      </c>
      <c r="L35" s="1"/>
      <c r="M35" s="1"/>
      <c r="N35" s="1"/>
      <c r="T35" s="1"/>
      <c r="U35" s="1"/>
      <c r="V35" s="1"/>
      <c r="W35" s="1"/>
      <c r="X35" s="1"/>
      <c r="Y35" s="1"/>
      <c r="Z35" s="1"/>
      <c r="AA35" s="1"/>
    </row>
    <row r="36" spans="1:27" ht="14" x14ac:dyDescent="0.15">
      <c r="A36" s="9">
        <v>35</v>
      </c>
      <c r="B36" s="9" t="s">
        <v>51</v>
      </c>
      <c r="C36" s="9" t="s">
        <v>23</v>
      </c>
      <c r="D36" s="10">
        <v>329.35</v>
      </c>
      <c r="E36" s="10">
        <v>329.35</v>
      </c>
      <c r="F36" s="10">
        <v>0.11</v>
      </c>
      <c r="G36" s="9">
        <f t="shared" si="0"/>
        <v>10.540850000000002</v>
      </c>
      <c r="H36" s="13" t="s">
        <v>11</v>
      </c>
      <c r="I36" s="12"/>
      <c r="K36">
        <f t="shared" si="1"/>
        <v>329.35</v>
      </c>
      <c r="L36" s="1"/>
      <c r="M36" s="1"/>
      <c r="N36" s="1"/>
      <c r="T36" s="1"/>
      <c r="U36" s="1"/>
      <c r="V36" s="1"/>
      <c r="W36" s="1"/>
      <c r="X36" s="1"/>
      <c r="Y36" s="1"/>
      <c r="Z36" s="1"/>
      <c r="AA36" s="1"/>
    </row>
    <row r="37" spans="1:27" ht="14" x14ac:dyDescent="0.15">
      <c r="A37" s="9">
        <v>36</v>
      </c>
      <c r="B37" s="9" t="s">
        <v>52</v>
      </c>
      <c r="C37" s="9" t="s">
        <v>23</v>
      </c>
      <c r="D37" s="10">
        <v>322.23</v>
      </c>
      <c r="E37" s="10">
        <v>322.23</v>
      </c>
      <c r="F37" s="10">
        <v>0.91</v>
      </c>
      <c r="G37" s="9">
        <f t="shared" si="0"/>
        <v>10.863080000000002</v>
      </c>
      <c r="H37" s="13" t="s">
        <v>11</v>
      </c>
      <c r="I37" s="12"/>
      <c r="K37">
        <f t="shared" si="1"/>
        <v>322.23</v>
      </c>
      <c r="L37" s="1"/>
      <c r="M37" s="1"/>
      <c r="N37" s="1"/>
      <c r="T37" s="1"/>
      <c r="U37" s="1"/>
      <c r="V37" s="1"/>
      <c r="W37" s="1"/>
      <c r="X37" s="1"/>
      <c r="Y37" s="1"/>
      <c r="Z37" s="1"/>
      <c r="AA37" s="1"/>
    </row>
    <row r="38" spans="1:27" ht="14" x14ac:dyDescent="0.15">
      <c r="A38" s="9">
        <v>37</v>
      </c>
      <c r="B38" s="9" t="s">
        <v>53</v>
      </c>
      <c r="C38" s="9" t="s">
        <v>19</v>
      </c>
      <c r="D38" s="10">
        <v>302.8</v>
      </c>
      <c r="E38" s="10">
        <v>311.3</v>
      </c>
      <c r="F38" s="10">
        <v>35.29</v>
      </c>
      <c r="G38" s="9">
        <f t="shared" si="0"/>
        <v>11.174380000000001</v>
      </c>
      <c r="H38" s="13" t="s">
        <v>11</v>
      </c>
      <c r="I38" s="12"/>
      <c r="J38" s="7">
        <f>D38+8.5</f>
        <v>311.3</v>
      </c>
      <c r="K38">
        <f t="shared" si="1"/>
        <v>311.3</v>
      </c>
      <c r="L38" s="1"/>
      <c r="M38" s="1"/>
      <c r="N38" s="1"/>
      <c r="T38" s="1"/>
      <c r="U38" s="1"/>
      <c r="V38" s="1"/>
      <c r="W38" s="1"/>
      <c r="X38" s="1"/>
      <c r="Y38" s="1"/>
      <c r="Z38" s="1"/>
      <c r="AA38" s="1"/>
    </row>
    <row r="39" spans="1:27" ht="14" x14ac:dyDescent="0.15">
      <c r="A39" s="9">
        <v>38</v>
      </c>
      <c r="B39" s="9" t="s">
        <v>54</v>
      </c>
      <c r="C39" s="9" t="s">
        <v>23</v>
      </c>
      <c r="D39" s="10">
        <v>322.39999999999998</v>
      </c>
      <c r="E39" s="10">
        <v>322.39999999999998</v>
      </c>
      <c r="F39" s="10">
        <v>1.03</v>
      </c>
      <c r="G39" s="9">
        <f t="shared" si="0"/>
        <v>11.496780000000001</v>
      </c>
      <c r="H39" s="13" t="s">
        <v>11</v>
      </c>
      <c r="I39" s="12"/>
      <c r="K39">
        <f t="shared" si="1"/>
        <v>322.39999999999998</v>
      </c>
      <c r="L39" s="1"/>
      <c r="M39" s="1"/>
      <c r="N39" s="1"/>
      <c r="T39" s="1"/>
      <c r="U39" s="1"/>
      <c r="V39" s="1"/>
      <c r="W39" s="1"/>
      <c r="X39" s="1"/>
      <c r="Y39" s="1"/>
      <c r="Z39" s="1"/>
      <c r="AA39" s="1"/>
    </row>
    <row r="40" spans="1:27" ht="14" x14ac:dyDescent="0.15">
      <c r="A40" s="9">
        <v>39</v>
      </c>
      <c r="B40" s="9" t="s">
        <v>55</v>
      </c>
      <c r="C40" s="9" t="s">
        <v>23</v>
      </c>
      <c r="D40" s="10">
        <v>302.8</v>
      </c>
      <c r="E40" s="10">
        <v>302.8</v>
      </c>
      <c r="F40" s="10">
        <v>1.03</v>
      </c>
      <c r="G40" s="9">
        <f t="shared" si="0"/>
        <v>11.799580000000001</v>
      </c>
      <c r="H40" s="13" t="s">
        <v>11</v>
      </c>
      <c r="I40" s="12"/>
      <c r="K40">
        <f t="shared" si="1"/>
        <v>302.8</v>
      </c>
      <c r="L40" s="1"/>
      <c r="M40" s="1"/>
      <c r="N40" s="1"/>
      <c r="T40" s="1"/>
      <c r="U40" s="1"/>
      <c r="V40" s="1"/>
      <c r="W40" s="1"/>
      <c r="X40" s="1"/>
      <c r="Y40" s="1"/>
      <c r="Z40" s="1"/>
      <c r="AA40" s="1"/>
    </row>
    <row r="41" spans="1:27" ht="14" x14ac:dyDescent="0.15">
      <c r="A41" s="9">
        <v>40</v>
      </c>
      <c r="B41" s="9" t="s">
        <v>56</v>
      </c>
      <c r="C41" s="9" t="s">
        <v>23</v>
      </c>
      <c r="D41" s="10">
        <v>322.64</v>
      </c>
      <c r="E41" s="10">
        <v>322.64</v>
      </c>
      <c r="F41" s="10">
        <v>0.22</v>
      </c>
      <c r="G41" s="9">
        <f t="shared" si="0"/>
        <v>12.12222</v>
      </c>
      <c r="H41" s="13" t="s">
        <v>11</v>
      </c>
      <c r="I41" s="12"/>
      <c r="K41">
        <f t="shared" si="1"/>
        <v>322.64</v>
      </c>
      <c r="L41" s="1"/>
      <c r="M41" s="1"/>
      <c r="N41" s="1"/>
      <c r="T41" s="1"/>
      <c r="U41" s="1"/>
      <c r="V41" s="1"/>
      <c r="W41" s="1"/>
      <c r="X41" s="1"/>
      <c r="Y41" s="1"/>
      <c r="Z41" s="1"/>
      <c r="AA41" s="1"/>
    </row>
    <row r="42" spans="1:27" ht="14" x14ac:dyDescent="0.15">
      <c r="A42" s="9">
        <v>41</v>
      </c>
      <c r="B42" s="9" t="s">
        <v>57</v>
      </c>
      <c r="C42" s="9" t="s">
        <v>23</v>
      </c>
      <c r="D42" s="10">
        <v>355.91</v>
      </c>
      <c r="E42" s="10">
        <v>355.91</v>
      </c>
      <c r="F42" s="10">
        <v>1.1000000000000001</v>
      </c>
      <c r="G42" s="9">
        <f t="shared" si="0"/>
        <v>12.47813</v>
      </c>
      <c r="H42" s="13" t="s">
        <v>11</v>
      </c>
      <c r="I42" s="12"/>
      <c r="K42">
        <f t="shared" si="1"/>
        <v>355.91</v>
      </c>
      <c r="L42" s="1"/>
      <c r="M42" s="1"/>
      <c r="N42" s="1"/>
      <c r="T42" s="1"/>
      <c r="U42" s="1"/>
      <c r="V42" s="1"/>
      <c r="W42" s="1"/>
      <c r="X42" s="1"/>
      <c r="Y42" s="1"/>
      <c r="Z42" s="1"/>
      <c r="AA42" s="1"/>
    </row>
    <row r="43" spans="1:27" ht="14" x14ac:dyDescent="0.15">
      <c r="A43" s="9">
        <v>42</v>
      </c>
      <c r="B43" s="9" t="s">
        <v>58</v>
      </c>
      <c r="C43" s="9" t="s">
        <v>23</v>
      </c>
      <c r="D43" s="10">
        <v>344.13</v>
      </c>
      <c r="E43" s="10">
        <v>344.13</v>
      </c>
      <c r="F43" s="10">
        <v>1.32</v>
      </c>
      <c r="G43" s="9">
        <f t="shared" si="0"/>
        <v>12.82226</v>
      </c>
      <c r="H43" s="13" t="s">
        <v>11</v>
      </c>
      <c r="I43" s="12"/>
      <c r="K43">
        <f t="shared" si="1"/>
        <v>344.13</v>
      </c>
      <c r="L43" s="1"/>
      <c r="M43" s="1"/>
      <c r="N43" s="1"/>
      <c r="T43" s="1"/>
      <c r="U43" s="1"/>
      <c r="V43" s="1"/>
      <c r="W43" s="1"/>
      <c r="X43" s="1"/>
      <c r="Y43" s="1"/>
      <c r="Z43" s="1"/>
      <c r="AA43" s="1"/>
    </row>
    <row r="44" spans="1:27" ht="14" x14ac:dyDescent="0.15">
      <c r="A44" s="9">
        <v>43</v>
      </c>
      <c r="B44" s="9" t="s">
        <v>59</v>
      </c>
      <c r="C44" s="9" t="s">
        <v>23</v>
      </c>
      <c r="D44" s="10">
        <v>251.78</v>
      </c>
      <c r="E44" s="10">
        <v>251.78</v>
      </c>
      <c r="F44" s="10">
        <v>0.88</v>
      </c>
      <c r="G44" s="9">
        <f t="shared" si="0"/>
        <v>13.07404</v>
      </c>
      <c r="H44" s="13" t="s">
        <v>11</v>
      </c>
      <c r="I44" s="12"/>
      <c r="K44">
        <f t="shared" si="1"/>
        <v>251.78</v>
      </c>
      <c r="L44" s="1"/>
      <c r="M44" s="1"/>
      <c r="N44" s="1"/>
      <c r="T44" s="1"/>
      <c r="U44" s="1"/>
      <c r="V44" s="1"/>
      <c r="W44" s="1"/>
      <c r="X44" s="1"/>
      <c r="Y44" s="1"/>
      <c r="Z44" s="1"/>
      <c r="AA44" s="1"/>
    </row>
    <row r="45" spans="1:27" ht="14" x14ac:dyDescent="0.15">
      <c r="A45" s="9">
        <v>44</v>
      </c>
      <c r="B45" s="9" t="s">
        <v>60</v>
      </c>
      <c r="C45" s="9" t="s">
        <v>16</v>
      </c>
      <c r="D45" s="10">
        <v>300.95999999999998</v>
      </c>
      <c r="E45" s="10">
        <v>300.95999999999998</v>
      </c>
      <c r="F45" s="10">
        <v>12.65</v>
      </c>
      <c r="G45" s="9">
        <f t="shared" si="0"/>
        <v>13.375</v>
      </c>
      <c r="H45" s="13" t="s">
        <v>11</v>
      </c>
      <c r="I45" s="12"/>
      <c r="K45">
        <f t="shared" si="1"/>
        <v>300.95999999999998</v>
      </c>
      <c r="L45" s="1"/>
      <c r="M45" s="1"/>
      <c r="N45" s="1"/>
      <c r="T45" s="1"/>
      <c r="U45" s="1"/>
      <c r="V45" s="1"/>
      <c r="W45" s="1"/>
      <c r="X45" s="1"/>
      <c r="Y45" s="1"/>
      <c r="Z45" s="1"/>
      <c r="AA45" s="1"/>
    </row>
    <row r="46" spans="1:27" ht="14" x14ac:dyDescent="0.15">
      <c r="A46" s="9">
        <v>45</v>
      </c>
      <c r="B46" s="9" t="s">
        <v>61</v>
      </c>
      <c r="C46" s="9" t="s">
        <v>23</v>
      </c>
      <c r="D46" s="10">
        <v>310.24</v>
      </c>
      <c r="E46" s="10">
        <v>310.24</v>
      </c>
      <c r="F46" s="10">
        <v>1.82</v>
      </c>
      <c r="G46" s="9">
        <f t="shared" si="0"/>
        <v>13.68524</v>
      </c>
      <c r="H46" s="13" t="s">
        <v>11</v>
      </c>
      <c r="I46" s="12"/>
      <c r="K46">
        <f t="shared" si="1"/>
        <v>310.24</v>
      </c>
      <c r="L46" s="1"/>
      <c r="M46" s="1"/>
      <c r="N46" s="1"/>
      <c r="T46" s="1"/>
      <c r="U46" s="1"/>
      <c r="V46" s="1"/>
      <c r="W46" s="1"/>
      <c r="X46" s="1"/>
      <c r="Y46" s="1"/>
      <c r="Z46" s="1"/>
      <c r="AA46" s="1"/>
    </row>
    <row r="47" spans="1:27" ht="14" x14ac:dyDescent="0.15">
      <c r="A47" s="9">
        <v>46</v>
      </c>
      <c r="B47" s="9" t="s">
        <v>62</v>
      </c>
      <c r="C47" s="9" t="s">
        <v>23</v>
      </c>
      <c r="D47" s="10">
        <v>340.77</v>
      </c>
      <c r="E47" s="10">
        <v>340.77</v>
      </c>
      <c r="F47" s="10">
        <v>2.25</v>
      </c>
      <c r="G47" s="9">
        <f t="shared" si="0"/>
        <v>14.026009999999999</v>
      </c>
      <c r="H47" s="13" t="s">
        <v>11</v>
      </c>
      <c r="I47" s="12"/>
      <c r="K47">
        <f t="shared" si="1"/>
        <v>340.77</v>
      </c>
      <c r="L47" s="1"/>
      <c r="M47" s="1"/>
      <c r="N47" s="1"/>
      <c r="T47" s="1"/>
      <c r="U47" s="1"/>
      <c r="V47" s="1"/>
      <c r="W47" s="1"/>
      <c r="X47" s="1"/>
      <c r="Y47" s="1"/>
      <c r="Z47" s="1"/>
      <c r="AA47" s="1"/>
    </row>
    <row r="48" spans="1:27" ht="14" x14ac:dyDescent="0.15">
      <c r="A48" s="9">
        <v>47</v>
      </c>
      <c r="B48" s="9" t="s">
        <v>63</v>
      </c>
      <c r="C48" s="9" t="s">
        <v>23</v>
      </c>
      <c r="D48" s="10">
        <v>337.77</v>
      </c>
      <c r="E48" s="10">
        <v>337.77</v>
      </c>
      <c r="F48" s="10">
        <v>1.21</v>
      </c>
      <c r="G48" s="9">
        <f t="shared" si="0"/>
        <v>14.36378</v>
      </c>
      <c r="H48" s="13" t="s">
        <v>11</v>
      </c>
      <c r="I48" s="12"/>
      <c r="K48">
        <f t="shared" si="1"/>
        <v>337.77</v>
      </c>
      <c r="L48" s="1"/>
      <c r="M48" s="1"/>
      <c r="N48" s="1"/>
      <c r="T48" s="1"/>
      <c r="U48" s="1"/>
      <c r="V48" s="1"/>
      <c r="W48" s="1"/>
      <c r="X48" s="1"/>
      <c r="Y48" s="1"/>
      <c r="Z48" s="1"/>
      <c r="AA48" s="1"/>
    </row>
    <row r="49" spans="1:27" ht="14" x14ac:dyDescent="0.15">
      <c r="A49" s="9">
        <v>48</v>
      </c>
      <c r="B49" s="9" t="s">
        <v>64</v>
      </c>
      <c r="C49" s="9" t="s">
        <v>23</v>
      </c>
      <c r="D49" s="10">
        <v>331.08</v>
      </c>
      <c r="E49" s="10">
        <v>331.08</v>
      </c>
      <c r="F49" s="10">
        <v>0.89</v>
      </c>
      <c r="G49" s="9">
        <f t="shared" si="0"/>
        <v>14.69486</v>
      </c>
      <c r="H49" s="13" t="s">
        <v>11</v>
      </c>
      <c r="I49" s="12"/>
      <c r="K49">
        <f t="shared" si="1"/>
        <v>331.08</v>
      </c>
      <c r="L49" s="1"/>
      <c r="M49" s="1"/>
      <c r="N49" s="1"/>
      <c r="T49" s="1"/>
      <c r="U49" s="1"/>
      <c r="V49" s="1"/>
      <c r="W49" s="1"/>
      <c r="X49" s="1"/>
      <c r="Y49" s="1"/>
      <c r="Z49" s="1"/>
      <c r="AA49" s="1"/>
    </row>
    <row r="50" spans="1:27" ht="14" x14ac:dyDescent="0.15">
      <c r="A50" s="9">
        <v>49</v>
      </c>
      <c r="B50" s="9" t="s">
        <v>65</v>
      </c>
      <c r="C50" s="9" t="s">
        <v>23</v>
      </c>
      <c r="D50" s="10">
        <v>349.31</v>
      </c>
      <c r="E50" s="10">
        <v>349.31</v>
      </c>
      <c r="F50" s="10">
        <v>0.67</v>
      </c>
      <c r="G50" s="9">
        <f t="shared" si="0"/>
        <v>15.044170000000001</v>
      </c>
      <c r="H50" s="13" t="s">
        <v>11</v>
      </c>
      <c r="I50" s="12"/>
      <c r="K50">
        <f t="shared" si="1"/>
        <v>349.31</v>
      </c>
      <c r="L50" s="1"/>
      <c r="M50" s="1"/>
      <c r="N50" s="1"/>
      <c r="T50" s="1"/>
      <c r="U50" s="1"/>
      <c r="V50" s="1"/>
      <c r="W50" s="1"/>
      <c r="X50" s="1"/>
      <c r="Y50" s="1"/>
      <c r="Z50" s="1"/>
      <c r="AA50" s="1"/>
    </row>
    <row r="51" spans="1:27" ht="14" x14ac:dyDescent="0.15">
      <c r="A51" s="9">
        <v>50</v>
      </c>
      <c r="B51" s="9" t="s">
        <v>66</v>
      </c>
      <c r="C51" s="9" t="s">
        <v>23</v>
      </c>
      <c r="D51" s="10">
        <v>337.88</v>
      </c>
      <c r="E51" s="10">
        <v>337.88</v>
      </c>
      <c r="F51" s="10">
        <v>0.63</v>
      </c>
      <c r="G51" s="9">
        <f t="shared" si="0"/>
        <v>15.382050000000001</v>
      </c>
      <c r="H51" s="13" t="s">
        <v>11</v>
      </c>
      <c r="I51" s="12"/>
      <c r="K51">
        <f t="shared" si="1"/>
        <v>337.88</v>
      </c>
      <c r="L51" s="1"/>
      <c r="M51" s="1"/>
      <c r="N51" s="1"/>
      <c r="T51" s="1"/>
      <c r="U51" s="1"/>
      <c r="V51" s="1"/>
      <c r="W51" s="1"/>
      <c r="X51" s="1"/>
      <c r="Y51" s="1"/>
      <c r="Z51" s="1"/>
      <c r="AA51" s="1"/>
    </row>
    <row r="52" spans="1:27" ht="14" x14ac:dyDescent="0.15">
      <c r="A52" s="9">
        <v>51</v>
      </c>
      <c r="B52" s="9" t="s">
        <v>67</v>
      </c>
      <c r="C52" s="9" t="s">
        <v>23</v>
      </c>
      <c r="D52" s="10">
        <v>337.66</v>
      </c>
      <c r="E52" s="10">
        <v>337.66</v>
      </c>
      <c r="F52" s="10">
        <v>0.83</v>
      </c>
      <c r="G52" s="9">
        <f t="shared" si="0"/>
        <v>15.719710000000001</v>
      </c>
      <c r="H52" s="13" t="s">
        <v>11</v>
      </c>
      <c r="I52" s="12"/>
      <c r="K52">
        <f t="shared" si="1"/>
        <v>337.66</v>
      </c>
      <c r="L52" s="1"/>
      <c r="M52" s="1"/>
      <c r="N52" s="1"/>
      <c r="T52" s="1"/>
      <c r="U52" s="1"/>
      <c r="V52" s="1"/>
      <c r="W52" s="1"/>
      <c r="X52" s="1"/>
      <c r="Y52" s="1"/>
      <c r="Z52" s="1"/>
      <c r="AA52" s="1"/>
    </row>
    <row r="53" spans="1:27" ht="14" x14ac:dyDescent="0.15">
      <c r="A53" s="9">
        <v>52</v>
      </c>
      <c r="B53" s="9" t="s">
        <v>68</v>
      </c>
      <c r="C53" s="9" t="s">
        <v>23</v>
      </c>
      <c r="D53" s="10">
        <v>364.44</v>
      </c>
      <c r="E53" s="10">
        <v>364.44</v>
      </c>
      <c r="F53" s="10">
        <v>0.53</v>
      </c>
      <c r="G53" s="9">
        <f t="shared" si="0"/>
        <v>16.084150000000001</v>
      </c>
      <c r="H53" s="13" t="s">
        <v>11</v>
      </c>
      <c r="I53" s="12"/>
      <c r="K53">
        <f t="shared" si="1"/>
        <v>364.44</v>
      </c>
      <c r="L53" s="1"/>
      <c r="M53" s="1"/>
      <c r="N53" s="1"/>
      <c r="T53" s="1"/>
      <c r="U53" s="1"/>
      <c r="V53" s="1"/>
      <c r="W53" s="1"/>
      <c r="X53" s="1"/>
      <c r="Y53" s="1"/>
      <c r="Z53" s="1"/>
      <c r="AA53" s="1"/>
    </row>
    <row r="54" spans="1:27" ht="14" x14ac:dyDescent="0.15">
      <c r="A54" s="9">
        <v>53</v>
      </c>
      <c r="B54" s="9" t="s">
        <v>69</v>
      </c>
      <c r="C54" s="9" t="s">
        <v>23</v>
      </c>
      <c r="D54" s="10">
        <v>323.7</v>
      </c>
      <c r="E54" s="10">
        <v>323.7</v>
      </c>
      <c r="F54" s="10">
        <v>0.36</v>
      </c>
      <c r="G54" s="9">
        <f t="shared" si="0"/>
        <v>16.40785</v>
      </c>
      <c r="H54" s="13" t="s">
        <v>11</v>
      </c>
      <c r="I54" s="12"/>
      <c r="K54">
        <f t="shared" si="1"/>
        <v>323.7</v>
      </c>
      <c r="L54" s="1"/>
      <c r="M54" s="1"/>
      <c r="N54" s="1"/>
      <c r="T54" s="1"/>
      <c r="U54" s="1"/>
      <c r="V54" s="1"/>
      <c r="W54" s="1"/>
      <c r="X54" s="1"/>
      <c r="Y54" s="1"/>
      <c r="Z54" s="1"/>
      <c r="AA54" s="1"/>
    </row>
    <row r="55" spans="1:27" ht="14" x14ac:dyDescent="0.15">
      <c r="A55" s="9">
        <v>54</v>
      </c>
      <c r="B55" s="9" t="s">
        <v>70</v>
      </c>
      <c r="C55" s="9" t="s">
        <v>23</v>
      </c>
      <c r="D55" s="10">
        <v>342.37</v>
      </c>
      <c r="E55" s="10">
        <v>342.37</v>
      </c>
      <c r="F55" s="10">
        <v>0.49</v>
      </c>
      <c r="G55" s="9">
        <f t="shared" si="0"/>
        <v>16.750219999999999</v>
      </c>
      <c r="H55" s="13" t="s">
        <v>11</v>
      </c>
      <c r="I55" s="12"/>
      <c r="K55">
        <f t="shared" si="1"/>
        <v>342.37</v>
      </c>
      <c r="L55" s="1"/>
      <c r="M55" s="1"/>
      <c r="N55" s="1"/>
      <c r="T55" s="1"/>
      <c r="U55" s="1"/>
      <c r="V55" s="1"/>
      <c r="W55" s="1"/>
      <c r="X55" s="1"/>
      <c r="Y55" s="1"/>
      <c r="Z55" s="1"/>
      <c r="AA55" s="1"/>
    </row>
    <row r="56" spans="1:27" ht="14" x14ac:dyDescent="0.15">
      <c r="A56" s="9">
        <v>55</v>
      </c>
      <c r="B56" s="9" t="s">
        <v>71</v>
      </c>
      <c r="C56" s="9" t="s">
        <v>16</v>
      </c>
      <c r="D56" s="10">
        <v>336.46</v>
      </c>
      <c r="E56" s="10">
        <v>336.46</v>
      </c>
      <c r="F56" s="10">
        <v>8.76</v>
      </c>
      <c r="G56" s="9">
        <f t="shared" si="0"/>
        <v>17.086679999999998</v>
      </c>
      <c r="H56" s="13" t="s">
        <v>11</v>
      </c>
      <c r="I56" s="12"/>
      <c r="K56">
        <f t="shared" si="1"/>
        <v>336.46</v>
      </c>
      <c r="L56" s="1"/>
      <c r="M56" s="1"/>
      <c r="N56" s="1"/>
      <c r="T56" s="1"/>
      <c r="U56" s="1"/>
      <c r="V56" s="1"/>
      <c r="W56" s="1"/>
      <c r="X56" s="1"/>
      <c r="Y56" s="1"/>
      <c r="Z56" s="1"/>
      <c r="AA56" s="1"/>
    </row>
    <row r="57" spans="1:27" ht="14" x14ac:dyDescent="0.15">
      <c r="A57" s="9">
        <v>56</v>
      </c>
      <c r="B57" s="9" t="s">
        <v>72</v>
      </c>
      <c r="C57" s="9" t="s">
        <v>23</v>
      </c>
      <c r="D57" s="10">
        <v>283.02999999999997</v>
      </c>
      <c r="E57" s="10">
        <v>283.02999999999997</v>
      </c>
      <c r="F57" s="10">
        <v>0.9</v>
      </c>
      <c r="G57" s="9">
        <f t="shared" si="0"/>
        <v>17.369709999999998</v>
      </c>
      <c r="H57" s="13" t="s">
        <v>11</v>
      </c>
      <c r="I57" s="12"/>
      <c r="K57">
        <f t="shared" si="1"/>
        <v>283.02999999999997</v>
      </c>
      <c r="L57" s="1"/>
      <c r="M57" s="1"/>
      <c r="N57" s="1"/>
      <c r="T57" s="1"/>
      <c r="U57" s="1"/>
      <c r="V57" s="1"/>
      <c r="W57" s="1"/>
      <c r="X57" s="1"/>
      <c r="Y57" s="1"/>
      <c r="Z57" s="1"/>
      <c r="AA57" s="1"/>
    </row>
    <row r="58" spans="1:27" ht="14" x14ac:dyDescent="0.15">
      <c r="A58" s="9">
        <v>57</v>
      </c>
      <c r="B58" s="9" t="s">
        <v>73</v>
      </c>
      <c r="C58" s="9" t="s">
        <v>23</v>
      </c>
      <c r="D58" s="10">
        <v>288.25</v>
      </c>
      <c r="E58" s="10">
        <v>288.25</v>
      </c>
      <c r="F58" s="10">
        <v>0</v>
      </c>
      <c r="G58" s="9">
        <f t="shared" si="0"/>
        <v>17.657959999999999</v>
      </c>
      <c r="H58" s="13" t="s">
        <v>11</v>
      </c>
      <c r="I58" s="12"/>
      <c r="K58">
        <f t="shared" si="1"/>
        <v>288.25</v>
      </c>
      <c r="L58" s="1"/>
      <c r="M58" s="1"/>
      <c r="N58" s="1"/>
      <c r="T58" s="1"/>
      <c r="U58" s="1"/>
      <c r="V58" s="1"/>
      <c r="W58" s="1"/>
      <c r="X58" s="1"/>
      <c r="Y58" s="1"/>
      <c r="Z58" s="1"/>
      <c r="AA58" s="1"/>
    </row>
    <row r="59" spans="1:27" ht="14" x14ac:dyDescent="0.15">
      <c r="A59" s="9">
        <v>58</v>
      </c>
      <c r="B59" s="9" t="s">
        <v>74</v>
      </c>
      <c r="C59" s="9" t="s">
        <v>23</v>
      </c>
      <c r="D59" s="10">
        <v>317.07</v>
      </c>
      <c r="E59" s="10">
        <v>317.07</v>
      </c>
      <c r="F59" s="10">
        <v>0.49</v>
      </c>
      <c r="G59" s="9">
        <f t="shared" si="0"/>
        <v>17.97503</v>
      </c>
      <c r="H59" s="13" t="s">
        <v>11</v>
      </c>
      <c r="I59" s="12"/>
      <c r="K59">
        <f t="shared" si="1"/>
        <v>317.07</v>
      </c>
      <c r="L59" s="1"/>
      <c r="M59" s="1"/>
      <c r="N59" s="1"/>
      <c r="T59" s="1"/>
      <c r="U59" s="1"/>
      <c r="V59" s="1"/>
      <c r="W59" s="1"/>
      <c r="X59" s="1"/>
      <c r="Y59" s="1"/>
      <c r="Z59" s="1"/>
      <c r="AA59" s="1"/>
    </row>
    <row r="60" spans="1:27" ht="14" x14ac:dyDescent="0.15">
      <c r="A60" s="9">
        <v>59</v>
      </c>
      <c r="B60" s="9" t="s">
        <v>75</v>
      </c>
      <c r="C60" s="9" t="s">
        <v>23</v>
      </c>
      <c r="D60" s="10">
        <v>302.67</v>
      </c>
      <c r="E60" s="10">
        <v>302.67</v>
      </c>
      <c r="F60" s="10">
        <v>0.67</v>
      </c>
      <c r="G60" s="9">
        <f t="shared" si="0"/>
        <v>18.277699999999999</v>
      </c>
      <c r="H60" s="13" t="s">
        <v>11</v>
      </c>
      <c r="I60" s="12"/>
      <c r="K60">
        <f t="shared" si="1"/>
        <v>302.67</v>
      </c>
      <c r="L60" s="1"/>
      <c r="M60" s="1"/>
      <c r="N60" s="1"/>
      <c r="T60" s="1"/>
      <c r="U60" s="1"/>
      <c r="V60" s="1"/>
      <c r="W60" s="1"/>
      <c r="X60" s="1"/>
      <c r="Y60" s="1"/>
      <c r="Z60" s="1"/>
      <c r="AA60" s="1"/>
    </row>
    <row r="61" spans="1:27" ht="14" x14ac:dyDescent="0.15">
      <c r="A61" s="9">
        <v>60</v>
      </c>
      <c r="B61" s="9" t="s">
        <v>76</v>
      </c>
      <c r="C61" s="9" t="s">
        <v>19</v>
      </c>
      <c r="D61" s="10">
        <v>357.43</v>
      </c>
      <c r="E61" s="10">
        <v>365.93</v>
      </c>
      <c r="F61" s="10">
        <v>50.54</v>
      </c>
      <c r="G61" s="9">
        <f t="shared" si="0"/>
        <v>18.643629999999998</v>
      </c>
      <c r="H61" s="13" t="s">
        <v>11</v>
      </c>
      <c r="I61" s="12"/>
      <c r="J61" s="7">
        <f>D61+8.5</f>
        <v>365.93</v>
      </c>
      <c r="K61">
        <f t="shared" si="1"/>
        <v>365.93</v>
      </c>
      <c r="L61" s="1"/>
      <c r="M61" s="1"/>
      <c r="N61" s="1"/>
      <c r="T61" s="1"/>
      <c r="U61" s="1"/>
      <c r="V61" s="1"/>
      <c r="W61" s="1"/>
      <c r="X61" s="1"/>
      <c r="Y61" s="1"/>
      <c r="Z61" s="1"/>
      <c r="AA61" s="1"/>
    </row>
    <row r="62" spans="1:27" ht="14" x14ac:dyDescent="0.15">
      <c r="A62" s="9">
        <v>61</v>
      </c>
      <c r="B62" s="9" t="s">
        <v>77</v>
      </c>
      <c r="C62" s="9" t="s">
        <v>23</v>
      </c>
      <c r="D62" s="10">
        <v>326.18</v>
      </c>
      <c r="E62" s="10">
        <v>326.18</v>
      </c>
      <c r="F62" s="10">
        <v>0</v>
      </c>
      <c r="G62" s="9">
        <f t="shared" si="0"/>
        <v>18.969809999999999</v>
      </c>
      <c r="H62" s="13" t="s">
        <v>11</v>
      </c>
      <c r="I62" s="12"/>
      <c r="K62">
        <f t="shared" si="1"/>
        <v>326.18</v>
      </c>
      <c r="L62" s="1"/>
      <c r="M62" s="1"/>
      <c r="N62" s="1"/>
      <c r="T62" s="1"/>
      <c r="U62" s="1"/>
      <c r="V62" s="1"/>
      <c r="W62" s="1"/>
      <c r="X62" s="1"/>
      <c r="Y62" s="1"/>
      <c r="Z62" s="1"/>
      <c r="AA62" s="1"/>
    </row>
    <row r="63" spans="1:27" ht="14" x14ac:dyDescent="0.15">
      <c r="A63" s="9">
        <v>62</v>
      </c>
      <c r="B63" s="9" t="s">
        <v>78</v>
      </c>
      <c r="C63" s="9" t="s">
        <v>23</v>
      </c>
      <c r="D63" s="10">
        <v>357.89</v>
      </c>
      <c r="E63" s="10">
        <v>357.89</v>
      </c>
      <c r="F63" s="10">
        <v>0.15</v>
      </c>
      <c r="G63" s="9">
        <f t="shared" si="0"/>
        <v>19.3277</v>
      </c>
      <c r="H63" s="13" t="s">
        <v>11</v>
      </c>
      <c r="I63" s="12"/>
      <c r="K63">
        <f t="shared" si="1"/>
        <v>357.89</v>
      </c>
      <c r="L63" s="1"/>
      <c r="M63" s="1"/>
      <c r="N63" s="1"/>
      <c r="T63" s="1"/>
      <c r="U63" s="1"/>
      <c r="V63" s="1"/>
      <c r="W63" s="1"/>
      <c r="X63" s="1"/>
      <c r="Y63" s="1"/>
      <c r="Z63" s="1"/>
      <c r="AA63" s="1"/>
    </row>
    <row r="64" spans="1:27" ht="14" x14ac:dyDescent="0.15">
      <c r="A64" s="9">
        <v>63</v>
      </c>
      <c r="B64" s="9" t="s">
        <v>79</v>
      </c>
      <c r="C64" s="9" t="s">
        <v>23</v>
      </c>
      <c r="D64" s="10">
        <v>340.91</v>
      </c>
      <c r="E64" s="10">
        <v>340.91</v>
      </c>
      <c r="F64" s="10">
        <v>0.65</v>
      </c>
      <c r="G64" s="9">
        <f t="shared" si="0"/>
        <v>19.668610000000001</v>
      </c>
      <c r="H64" s="13" t="s">
        <v>11</v>
      </c>
      <c r="I64" s="12"/>
      <c r="K64">
        <f t="shared" si="1"/>
        <v>340.91</v>
      </c>
      <c r="L64" s="1"/>
      <c r="M64" s="1"/>
      <c r="N64" s="1"/>
      <c r="T64" s="1"/>
      <c r="U64" s="1"/>
      <c r="V64" s="1"/>
      <c r="W64" s="1"/>
      <c r="X64" s="1"/>
      <c r="Y64" s="1"/>
      <c r="Z64" s="1"/>
      <c r="AA64" s="1"/>
    </row>
    <row r="65" spans="1:27" ht="14" x14ac:dyDescent="0.15">
      <c r="A65" s="9">
        <v>64</v>
      </c>
      <c r="B65" s="9" t="s">
        <v>80</v>
      </c>
      <c r="C65" s="9" t="s">
        <v>19</v>
      </c>
      <c r="D65" s="10">
        <v>344.02</v>
      </c>
      <c r="E65" s="10">
        <v>352.52</v>
      </c>
      <c r="F65" s="10">
        <v>60.56</v>
      </c>
      <c r="G65" s="9">
        <f t="shared" si="0"/>
        <v>20.021129999999999</v>
      </c>
      <c r="H65" s="13" t="s">
        <v>11</v>
      </c>
      <c r="I65" s="12"/>
      <c r="J65" s="7">
        <f>D65+8.5</f>
        <v>352.52</v>
      </c>
      <c r="K65">
        <f t="shared" si="1"/>
        <v>352.52</v>
      </c>
      <c r="L65" s="1"/>
      <c r="M65" s="1"/>
      <c r="N65" s="1"/>
      <c r="T65" s="1"/>
      <c r="U65" s="1"/>
      <c r="V65" s="1"/>
      <c r="W65" s="1"/>
      <c r="X65" s="1"/>
      <c r="Y65" s="1"/>
      <c r="Z65" s="1"/>
      <c r="AA65" s="1"/>
    </row>
    <row r="66" spans="1:27" ht="14" x14ac:dyDescent="0.15">
      <c r="A66" s="9">
        <v>65</v>
      </c>
      <c r="B66" s="9" t="s">
        <v>81</v>
      </c>
      <c r="C66" s="9" t="s">
        <v>23</v>
      </c>
      <c r="D66" s="10">
        <v>352.41</v>
      </c>
      <c r="E66" s="10">
        <v>352.41</v>
      </c>
      <c r="F66" s="10">
        <v>0.66</v>
      </c>
      <c r="G66" s="9">
        <f t="shared" si="0"/>
        <v>20.373539999999998</v>
      </c>
      <c r="H66" s="13" t="s">
        <v>11</v>
      </c>
      <c r="I66" s="12"/>
      <c r="K66">
        <f t="shared" si="1"/>
        <v>352.41</v>
      </c>
      <c r="L66" s="1"/>
      <c r="M66" s="1"/>
      <c r="N66" s="1"/>
      <c r="T66" s="1"/>
      <c r="U66" s="1"/>
      <c r="V66" s="1"/>
      <c r="W66" s="1"/>
      <c r="X66" s="1"/>
      <c r="Y66" s="1"/>
      <c r="Z66" s="1"/>
      <c r="AA66" s="1"/>
    </row>
    <row r="67" spans="1:27" ht="14" x14ac:dyDescent="0.15">
      <c r="A67" s="9">
        <v>66</v>
      </c>
      <c r="B67" s="9" t="s">
        <v>82</v>
      </c>
      <c r="C67" s="9" t="s">
        <v>23</v>
      </c>
      <c r="D67" s="10">
        <v>346.37</v>
      </c>
      <c r="E67" s="10">
        <v>346.37</v>
      </c>
      <c r="F67" s="10">
        <v>0.24</v>
      </c>
      <c r="G67" s="9">
        <f t="shared" si="0"/>
        <v>20.719909999999999</v>
      </c>
      <c r="H67" s="13" t="s">
        <v>11</v>
      </c>
      <c r="I67" s="12"/>
      <c r="K67">
        <f t="shared" si="1"/>
        <v>346.37</v>
      </c>
      <c r="L67" s="1"/>
      <c r="M67" s="1"/>
      <c r="N67" s="1"/>
      <c r="T67" s="1"/>
      <c r="U67" s="1"/>
      <c r="V67" s="1"/>
      <c r="W67" s="1"/>
      <c r="X67" s="1"/>
      <c r="Y67" s="1"/>
      <c r="Z67" s="1"/>
      <c r="AA67" s="1"/>
    </row>
    <row r="68" spans="1:27" ht="14" x14ac:dyDescent="0.15">
      <c r="A68" s="9">
        <v>67</v>
      </c>
      <c r="B68" s="9" t="s">
        <v>83</v>
      </c>
      <c r="C68" s="9" t="s">
        <v>23</v>
      </c>
      <c r="D68" s="10">
        <v>349.11</v>
      </c>
      <c r="E68" s="10">
        <v>349.11</v>
      </c>
      <c r="F68" s="10">
        <v>0.94</v>
      </c>
      <c r="G68" s="9">
        <f t="shared" ref="G68:G131" si="4">E68/1000+G67</f>
        <v>21.069019999999998</v>
      </c>
      <c r="H68" s="13" t="s">
        <v>11</v>
      </c>
      <c r="I68" s="12"/>
      <c r="K68">
        <f t="shared" ref="K68:K131" si="5">IF(J68&lt;&gt;"",J68,D68)</f>
        <v>349.11</v>
      </c>
      <c r="L68" s="1"/>
      <c r="M68" s="1"/>
      <c r="N68" s="1"/>
      <c r="T68" s="1"/>
      <c r="U68" s="1"/>
      <c r="V68" s="1"/>
      <c r="W68" s="1"/>
      <c r="X68" s="1"/>
      <c r="Y68" s="1"/>
      <c r="Z68" s="1"/>
      <c r="AA68" s="1"/>
    </row>
    <row r="69" spans="1:27" ht="14" x14ac:dyDescent="0.15">
      <c r="A69" s="9">
        <v>68</v>
      </c>
      <c r="B69" s="9" t="s">
        <v>84</v>
      </c>
      <c r="C69" s="9" t="s">
        <v>23</v>
      </c>
      <c r="D69" s="10">
        <v>341.21</v>
      </c>
      <c r="E69" s="10">
        <v>341.21</v>
      </c>
      <c r="F69" s="10">
        <v>0.81</v>
      </c>
      <c r="G69" s="9">
        <f t="shared" si="4"/>
        <v>21.410229999999999</v>
      </c>
      <c r="H69" s="13" t="s">
        <v>11</v>
      </c>
      <c r="I69" s="12"/>
      <c r="K69">
        <f t="shared" si="5"/>
        <v>341.21</v>
      </c>
      <c r="L69" s="1"/>
      <c r="M69" s="1"/>
      <c r="N69" s="1"/>
      <c r="T69" s="1"/>
      <c r="U69" s="1"/>
      <c r="V69" s="1"/>
      <c r="W69" s="1"/>
      <c r="X69" s="1"/>
      <c r="Y69" s="1"/>
      <c r="Z69" s="1"/>
      <c r="AA69" s="1"/>
    </row>
    <row r="70" spans="1:27" ht="14" x14ac:dyDescent="0.15">
      <c r="A70" s="9">
        <v>69</v>
      </c>
      <c r="B70" s="9" t="s">
        <v>85</v>
      </c>
      <c r="C70" s="9" t="s">
        <v>23</v>
      </c>
      <c r="D70" s="10">
        <v>353.18</v>
      </c>
      <c r="E70" s="10">
        <v>353.18</v>
      </c>
      <c r="F70" s="10">
        <v>0.84</v>
      </c>
      <c r="G70" s="9">
        <f t="shared" si="4"/>
        <v>21.763409999999997</v>
      </c>
      <c r="H70" s="13" t="s">
        <v>11</v>
      </c>
      <c r="I70" s="12"/>
      <c r="K70">
        <f t="shared" si="5"/>
        <v>353.18</v>
      </c>
      <c r="L70" s="1"/>
      <c r="M70" s="1"/>
      <c r="N70" s="1"/>
      <c r="T70" s="1"/>
      <c r="U70" s="1"/>
      <c r="V70" s="1"/>
      <c r="W70" s="1"/>
      <c r="X70" s="1"/>
      <c r="Y70" s="1"/>
      <c r="Z70" s="1"/>
      <c r="AA70" s="1"/>
    </row>
    <row r="71" spans="1:27" ht="14" x14ac:dyDescent="0.15">
      <c r="A71" s="9">
        <v>70</v>
      </c>
      <c r="B71" s="9" t="s">
        <v>86</v>
      </c>
      <c r="C71" s="9" t="s">
        <v>19</v>
      </c>
      <c r="D71" s="10">
        <v>308.92</v>
      </c>
      <c r="E71" s="10">
        <v>317.42</v>
      </c>
      <c r="F71" s="10">
        <v>31.31</v>
      </c>
      <c r="G71" s="9">
        <f t="shared" si="4"/>
        <v>22.080829999999995</v>
      </c>
      <c r="H71" s="13" t="s">
        <v>11</v>
      </c>
      <c r="I71" s="12"/>
      <c r="J71" s="7">
        <f>D71+8.5</f>
        <v>317.42</v>
      </c>
      <c r="K71">
        <f t="shared" si="5"/>
        <v>317.42</v>
      </c>
      <c r="L71" s="1"/>
      <c r="M71" s="1"/>
      <c r="N71" s="1"/>
      <c r="T71" s="1"/>
      <c r="U71" s="1"/>
      <c r="V71" s="1"/>
      <c r="W71" s="1"/>
      <c r="X71" s="1"/>
      <c r="Y71" s="1"/>
      <c r="Z71" s="1"/>
      <c r="AA71" s="1"/>
    </row>
    <row r="72" spans="1:27" ht="14" x14ac:dyDescent="0.15">
      <c r="A72" s="9">
        <v>71</v>
      </c>
      <c r="B72" s="9" t="s">
        <v>87</v>
      </c>
      <c r="C72" s="9" t="s">
        <v>23</v>
      </c>
      <c r="D72" s="10">
        <v>291.95</v>
      </c>
      <c r="E72" s="10">
        <v>291.95</v>
      </c>
      <c r="F72" s="10">
        <v>0.56999999999999995</v>
      </c>
      <c r="G72" s="9">
        <f t="shared" si="4"/>
        <v>22.372779999999995</v>
      </c>
      <c r="H72" s="13" t="s">
        <v>11</v>
      </c>
      <c r="I72" s="12"/>
      <c r="K72">
        <f t="shared" si="5"/>
        <v>291.95</v>
      </c>
      <c r="L72" s="1"/>
      <c r="M72" s="1"/>
      <c r="N72" s="1"/>
      <c r="T72" s="1"/>
      <c r="U72" s="1"/>
      <c r="V72" s="1"/>
      <c r="W72" s="1"/>
      <c r="X72" s="1"/>
      <c r="Y72" s="1"/>
      <c r="Z72" s="1"/>
      <c r="AA72" s="1"/>
    </row>
    <row r="73" spans="1:27" ht="14" x14ac:dyDescent="0.15">
      <c r="A73" s="9">
        <v>72</v>
      </c>
      <c r="B73" s="9" t="s">
        <v>88</v>
      </c>
      <c r="C73" s="9" t="s">
        <v>23</v>
      </c>
      <c r="D73" s="10">
        <v>391.35</v>
      </c>
      <c r="E73" s="10">
        <v>391.35</v>
      </c>
      <c r="F73" s="10">
        <v>0.64</v>
      </c>
      <c r="G73" s="9">
        <f t="shared" si="4"/>
        <v>22.764129999999994</v>
      </c>
      <c r="H73" s="13" t="s">
        <v>11</v>
      </c>
      <c r="I73" s="12"/>
      <c r="K73">
        <f t="shared" si="5"/>
        <v>391.35</v>
      </c>
      <c r="L73" s="1"/>
      <c r="M73" s="1"/>
      <c r="N73" s="1"/>
      <c r="T73" s="1"/>
      <c r="U73" s="1"/>
      <c r="V73" s="1"/>
      <c r="W73" s="1"/>
      <c r="X73" s="1"/>
      <c r="Y73" s="1"/>
      <c r="Z73" s="1"/>
      <c r="AA73" s="1"/>
    </row>
    <row r="74" spans="1:27" ht="14" x14ac:dyDescent="0.15">
      <c r="A74" s="9">
        <v>73</v>
      </c>
      <c r="B74" s="9" t="s">
        <v>89</v>
      </c>
      <c r="C74" s="9" t="s">
        <v>23</v>
      </c>
      <c r="D74" s="10">
        <v>307.87</v>
      </c>
      <c r="E74" s="10">
        <v>307.87</v>
      </c>
      <c r="F74" s="10">
        <v>0.4</v>
      </c>
      <c r="G74" s="9">
        <f t="shared" si="4"/>
        <v>23.071999999999996</v>
      </c>
      <c r="H74" s="13" t="s">
        <v>11</v>
      </c>
      <c r="I74" s="12"/>
      <c r="K74">
        <f t="shared" si="5"/>
        <v>307.87</v>
      </c>
      <c r="L74" s="1"/>
      <c r="M74" s="1"/>
      <c r="N74" s="1"/>
      <c r="T74" s="1"/>
      <c r="U74" s="1"/>
      <c r="V74" s="1"/>
      <c r="W74" s="1"/>
      <c r="X74" s="1"/>
      <c r="Y74" s="1"/>
      <c r="Z74" s="1"/>
      <c r="AA74" s="1"/>
    </row>
    <row r="75" spans="1:27" ht="14" x14ac:dyDescent="0.15">
      <c r="A75" s="9">
        <v>74</v>
      </c>
      <c r="B75" s="9" t="s">
        <v>90</v>
      </c>
      <c r="C75" s="9" t="s">
        <v>23</v>
      </c>
      <c r="D75" s="10">
        <v>337.18</v>
      </c>
      <c r="E75" s="10">
        <v>337.18</v>
      </c>
      <c r="F75" s="10">
        <v>0.01</v>
      </c>
      <c r="G75" s="9">
        <f t="shared" si="4"/>
        <v>23.409179999999996</v>
      </c>
      <c r="H75" s="13" t="s">
        <v>11</v>
      </c>
      <c r="I75" s="12"/>
      <c r="K75">
        <f t="shared" si="5"/>
        <v>337.18</v>
      </c>
      <c r="L75" s="1"/>
      <c r="M75" s="1"/>
      <c r="N75" s="1"/>
      <c r="T75" s="1"/>
      <c r="U75" s="1"/>
      <c r="V75" s="1"/>
      <c r="W75" s="1"/>
      <c r="X75" s="1"/>
      <c r="Y75" s="1"/>
      <c r="Z75" s="1"/>
      <c r="AA75" s="1"/>
    </row>
    <row r="76" spans="1:27" ht="14" x14ac:dyDescent="0.15">
      <c r="A76" s="9">
        <v>75</v>
      </c>
      <c r="B76" s="9" t="s">
        <v>91</v>
      </c>
      <c r="C76" s="9" t="s">
        <v>28</v>
      </c>
      <c r="D76" s="10">
        <v>167.27</v>
      </c>
      <c r="E76" s="10">
        <v>175.77</v>
      </c>
      <c r="F76" s="10">
        <v>15.19</v>
      </c>
      <c r="G76" s="9">
        <f t="shared" si="4"/>
        <v>23.584949999999996</v>
      </c>
      <c r="H76" s="13" t="s">
        <v>11</v>
      </c>
      <c r="I76" s="12"/>
      <c r="J76" s="7">
        <f t="shared" ref="J76:J77" si="6">D76+8.5</f>
        <v>175.77</v>
      </c>
      <c r="K76">
        <f t="shared" si="5"/>
        <v>175.77</v>
      </c>
      <c r="L76" s="1"/>
      <c r="M76" s="1"/>
      <c r="N76" s="1"/>
      <c r="T76" s="1"/>
      <c r="U76" s="1"/>
      <c r="V76" s="1"/>
      <c r="W76" s="1"/>
      <c r="X76" s="1"/>
      <c r="Y76" s="1"/>
      <c r="Z76" s="1"/>
      <c r="AA76" s="1"/>
    </row>
    <row r="77" spans="1:27" ht="14" x14ac:dyDescent="0.15">
      <c r="A77" s="9">
        <v>76</v>
      </c>
      <c r="B77" s="9" t="s">
        <v>92</v>
      </c>
      <c r="C77" s="9" t="s">
        <v>14</v>
      </c>
      <c r="D77" s="10">
        <v>78.64</v>
      </c>
      <c r="E77" s="10">
        <v>87.14</v>
      </c>
      <c r="F77" s="10">
        <v>17.48</v>
      </c>
      <c r="G77" s="9">
        <f t="shared" si="4"/>
        <v>23.672089999999997</v>
      </c>
      <c r="H77" s="13" t="s">
        <v>11</v>
      </c>
      <c r="I77" s="12"/>
      <c r="J77" s="7">
        <f t="shared" si="6"/>
        <v>87.14</v>
      </c>
      <c r="K77">
        <f t="shared" si="5"/>
        <v>87.14</v>
      </c>
      <c r="L77" s="1"/>
      <c r="M77" s="1"/>
      <c r="N77" s="1"/>
      <c r="T77" s="1"/>
      <c r="U77" s="1"/>
      <c r="V77" s="1"/>
      <c r="W77" s="1"/>
      <c r="X77" s="1"/>
      <c r="Y77" s="1"/>
      <c r="Z77" s="1"/>
      <c r="AA77" s="1"/>
    </row>
    <row r="78" spans="1:27" ht="14" x14ac:dyDescent="0.15">
      <c r="A78" s="9">
        <v>77</v>
      </c>
      <c r="B78" s="9" t="s">
        <v>93</v>
      </c>
      <c r="C78" s="9" t="s">
        <v>10</v>
      </c>
      <c r="D78" s="10">
        <v>39.78</v>
      </c>
      <c r="E78" s="10">
        <v>39.78</v>
      </c>
      <c r="F78" s="10">
        <v>1.64</v>
      </c>
      <c r="G78" s="9">
        <f t="shared" si="4"/>
        <v>23.711869999999998</v>
      </c>
      <c r="H78" s="13" t="s">
        <v>11</v>
      </c>
      <c r="I78" s="12"/>
      <c r="K78">
        <f t="shared" si="5"/>
        <v>39.78</v>
      </c>
      <c r="L78" s="1"/>
      <c r="M78" s="1"/>
      <c r="N78" s="1"/>
      <c r="T78" s="1"/>
      <c r="U78" s="1"/>
      <c r="V78" s="1"/>
      <c r="W78" s="1"/>
      <c r="X78" s="1"/>
      <c r="Y78" s="1"/>
      <c r="Z78" s="1"/>
      <c r="AA78" s="1"/>
    </row>
    <row r="79" spans="1:27" ht="14" x14ac:dyDescent="0.15">
      <c r="A79" s="9">
        <v>78</v>
      </c>
      <c r="B79" s="9" t="s">
        <v>94</v>
      </c>
      <c r="C79" s="9" t="s">
        <v>10</v>
      </c>
      <c r="D79" s="10">
        <v>81.7</v>
      </c>
      <c r="E79" s="10">
        <v>81.7</v>
      </c>
      <c r="F79" s="10">
        <v>1.52</v>
      </c>
      <c r="G79" s="9">
        <f t="shared" si="4"/>
        <v>23.793569999999999</v>
      </c>
      <c r="H79" s="13" t="s">
        <v>11</v>
      </c>
      <c r="I79" s="12"/>
      <c r="K79">
        <f t="shared" si="5"/>
        <v>81.7</v>
      </c>
      <c r="L79" s="1"/>
      <c r="M79" s="1"/>
      <c r="N79" s="1"/>
      <c r="T79" s="1"/>
      <c r="U79" s="1"/>
      <c r="V79" s="1"/>
      <c r="W79" s="1"/>
      <c r="X79" s="1"/>
      <c r="Y79" s="1"/>
      <c r="Z79" s="1"/>
      <c r="AA79" s="1"/>
    </row>
    <row r="80" spans="1:27" ht="14" x14ac:dyDescent="0.15">
      <c r="A80" s="9">
        <v>79</v>
      </c>
      <c r="B80" s="9" t="s">
        <v>95</v>
      </c>
      <c r="C80" s="9" t="s">
        <v>14</v>
      </c>
      <c r="D80" s="10">
        <v>162.25</v>
      </c>
      <c r="E80" s="10">
        <v>170.75</v>
      </c>
      <c r="F80" s="10">
        <v>29.14</v>
      </c>
      <c r="G80" s="9">
        <f t="shared" si="4"/>
        <v>23.964320000000001</v>
      </c>
      <c r="H80" s="13" t="s">
        <v>11</v>
      </c>
      <c r="I80" s="12"/>
      <c r="J80" s="7">
        <f>D80+8.5</f>
        <v>170.75</v>
      </c>
      <c r="K80">
        <f t="shared" si="5"/>
        <v>170.75</v>
      </c>
      <c r="L80" s="1"/>
      <c r="M80" s="1"/>
      <c r="N80" s="1"/>
      <c r="T80" s="1"/>
      <c r="U80" s="1"/>
      <c r="V80" s="1"/>
      <c r="W80" s="1"/>
      <c r="X80" s="1"/>
      <c r="Y80" s="1"/>
      <c r="Z80" s="1"/>
      <c r="AA80" s="1"/>
    </row>
    <row r="81" spans="1:27" ht="14" x14ac:dyDescent="0.15">
      <c r="A81" s="9">
        <v>80</v>
      </c>
      <c r="B81" s="9" t="s">
        <v>96</v>
      </c>
      <c r="C81" s="9" t="s">
        <v>16</v>
      </c>
      <c r="D81" s="10">
        <v>254.62</v>
      </c>
      <c r="E81" s="10">
        <v>254.62</v>
      </c>
      <c r="F81" s="10">
        <v>5</v>
      </c>
      <c r="G81" s="9">
        <f t="shared" si="4"/>
        <v>24.21894</v>
      </c>
      <c r="H81" s="13" t="s">
        <v>11</v>
      </c>
      <c r="I81" s="12"/>
      <c r="K81">
        <f t="shared" si="5"/>
        <v>254.62</v>
      </c>
      <c r="L81" s="1"/>
      <c r="M81" s="1"/>
      <c r="N81" s="1"/>
      <c r="T81" s="1"/>
      <c r="U81" s="1"/>
      <c r="V81" s="1"/>
      <c r="W81" s="1"/>
      <c r="X81" s="1"/>
      <c r="Y81" s="1"/>
      <c r="Z81" s="1"/>
      <c r="AA81" s="1"/>
    </row>
    <row r="82" spans="1:27" ht="14" x14ac:dyDescent="0.15">
      <c r="A82" s="9">
        <v>81</v>
      </c>
      <c r="B82" s="9" t="s">
        <v>97</v>
      </c>
      <c r="C82" s="9" t="s">
        <v>19</v>
      </c>
      <c r="D82" s="10">
        <v>323.26</v>
      </c>
      <c r="E82" s="10">
        <v>331.76</v>
      </c>
      <c r="F82" s="10">
        <v>38.93</v>
      </c>
      <c r="G82" s="9">
        <f t="shared" si="4"/>
        <v>24.550699999999999</v>
      </c>
      <c r="H82" s="13" t="s">
        <v>11</v>
      </c>
      <c r="I82" s="12"/>
      <c r="J82" s="7">
        <f>D82+8.5</f>
        <v>331.76</v>
      </c>
      <c r="K82">
        <f t="shared" si="5"/>
        <v>331.76</v>
      </c>
      <c r="L82" s="1"/>
      <c r="M82" s="1"/>
      <c r="N82" s="1"/>
      <c r="T82" s="1"/>
      <c r="U82" s="1"/>
      <c r="V82" s="1"/>
      <c r="W82" s="1"/>
      <c r="X82" s="1"/>
      <c r="Y82" s="1"/>
      <c r="Z82" s="1"/>
      <c r="AA82" s="1"/>
    </row>
    <row r="83" spans="1:27" ht="14" x14ac:dyDescent="0.15">
      <c r="A83" s="9">
        <v>82</v>
      </c>
      <c r="B83" s="9" t="s">
        <v>98</v>
      </c>
      <c r="C83" s="9" t="s">
        <v>23</v>
      </c>
      <c r="D83" s="10">
        <v>352.86</v>
      </c>
      <c r="E83" s="10">
        <v>352.86</v>
      </c>
      <c r="F83" s="10">
        <v>0.3</v>
      </c>
      <c r="G83" s="9">
        <f t="shared" si="4"/>
        <v>24.903559999999999</v>
      </c>
      <c r="H83" s="13" t="s">
        <v>11</v>
      </c>
      <c r="I83" s="12"/>
      <c r="K83">
        <f t="shared" si="5"/>
        <v>352.86</v>
      </c>
      <c r="L83" s="1"/>
      <c r="M83" s="1"/>
      <c r="N83" s="1"/>
      <c r="T83" s="1"/>
      <c r="U83" s="1"/>
      <c r="V83" s="1"/>
      <c r="W83" s="1"/>
      <c r="X83" s="1"/>
      <c r="Y83" s="1"/>
      <c r="Z83" s="1"/>
      <c r="AA83" s="1"/>
    </row>
    <row r="84" spans="1:27" ht="14" x14ac:dyDescent="0.15">
      <c r="A84" s="9">
        <v>83</v>
      </c>
      <c r="B84" s="9" t="s">
        <v>99</v>
      </c>
      <c r="C84" s="9" t="s">
        <v>23</v>
      </c>
      <c r="D84" s="10">
        <v>352.86</v>
      </c>
      <c r="E84" s="10">
        <v>352.86</v>
      </c>
      <c r="F84" s="10">
        <v>0</v>
      </c>
      <c r="G84" s="9">
        <f t="shared" si="4"/>
        <v>25.256419999999999</v>
      </c>
      <c r="H84" s="13" t="s">
        <v>11</v>
      </c>
      <c r="I84" s="12"/>
      <c r="K84">
        <f t="shared" si="5"/>
        <v>352.86</v>
      </c>
      <c r="L84" s="1"/>
      <c r="M84" s="1"/>
      <c r="N84" s="1"/>
      <c r="T84" s="1"/>
      <c r="U84" s="1"/>
      <c r="V84" s="1"/>
      <c r="W84" s="1"/>
      <c r="X84" s="1"/>
      <c r="Y84" s="1"/>
      <c r="Z84" s="1"/>
      <c r="AA84" s="1"/>
    </row>
    <row r="85" spans="1:27" ht="14" x14ac:dyDescent="0.15">
      <c r="A85" s="9">
        <v>84</v>
      </c>
      <c r="B85" s="9" t="s">
        <v>100</v>
      </c>
      <c r="C85" s="9" t="s">
        <v>23</v>
      </c>
      <c r="D85" s="10">
        <v>281.51</v>
      </c>
      <c r="E85" s="10">
        <v>281.51</v>
      </c>
      <c r="F85" s="10">
        <v>0.56999999999999995</v>
      </c>
      <c r="G85" s="9">
        <f t="shared" si="4"/>
        <v>25.537929999999999</v>
      </c>
      <c r="H85" s="13" t="s">
        <v>11</v>
      </c>
      <c r="I85" s="12"/>
      <c r="K85">
        <f t="shared" si="5"/>
        <v>281.51</v>
      </c>
      <c r="L85" s="1"/>
      <c r="M85" s="1"/>
      <c r="N85" s="1"/>
      <c r="T85" s="1"/>
      <c r="U85" s="1"/>
      <c r="V85" s="1"/>
      <c r="W85" s="1"/>
      <c r="X85" s="1"/>
      <c r="Y85" s="1"/>
      <c r="Z85" s="1"/>
      <c r="AA85" s="1"/>
    </row>
    <row r="86" spans="1:27" ht="14" x14ac:dyDescent="0.15">
      <c r="A86" s="9">
        <v>85</v>
      </c>
      <c r="B86" s="9" t="s">
        <v>101</v>
      </c>
      <c r="C86" s="9" t="s">
        <v>23</v>
      </c>
      <c r="D86" s="10">
        <v>348.96</v>
      </c>
      <c r="E86" s="10">
        <v>348.96</v>
      </c>
      <c r="F86" s="10">
        <v>0.84</v>
      </c>
      <c r="G86" s="9">
        <f t="shared" si="4"/>
        <v>25.886890000000001</v>
      </c>
      <c r="H86" s="13" t="s">
        <v>11</v>
      </c>
      <c r="I86" s="12"/>
      <c r="K86">
        <f t="shared" si="5"/>
        <v>348.96</v>
      </c>
      <c r="L86" s="1"/>
      <c r="M86" s="1"/>
      <c r="N86" s="1"/>
      <c r="T86" s="1"/>
      <c r="U86" s="1"/>
      <c r="V86" s="1"/>
      <c r="W86" s="1"/>
      <c r="X86" s="1"/>
      <c r="Y86" s="1"/>
      <c r="Z86" s="1"/>
      <c r="AA86" s="1"/>
    </row>
    <row r="87" spans="1:27" ht="14" x14ac:dyDescent="0.15">
      <c r="A87" s="9">
        <v>86</v>
      </c>
      <c r="B87" s="9" t="s">
        <v>102</v>
      </c>
      <c r="C87" s="9" t="s">
        <v>23</v>
      </c>
      <c r="D87" s="10">
        <v>323.57</v>
      </c>
      <c r="E87" s="10">
        <v>323.57</v>
      </c>
      <c r="F87" s="10">
        <v>0.42</v>
      </c>
      <c r="G87" s="9">
        <f t="shared" si="4"/>
        <v>26.210460000000001</v>
      </c>
      <c r="H87" s="13" t="s">
        <v>11</v>
      </c>
      <c r="I87" s="12"/>
      <c r="K87">
        <f t="shared" si="5"/>
        <v>323.57</v>
      </c>
      <c r="L87" s="1"/>
      <c r="M87" s="1"/>
      <c r="N87" s="1"/>
      <c r="T87" s="1"/>
      <c r="U87" s="1"/>
      <c r="V87" s="1"/>
      <c r="W87" s="1"/>
      <c r="X87" s="1"/>
      <c r="Y87" s="1"/>
      <c r="Z87" s="1"/>
      <c r="AA87" s="1"/>
    </row>
    <row r="88" spans="1:27" ht="14" x14ac:dyDescent="0.15">
      <c r="A88" s="9">
        <v>87</v>
      </c>
      <c r="B88" s="9" t="s">
        <v>103</v>
      </c>
      <c r="C88" s="9" t="s">
        <v>23</v>
      </c>
      <c r="D88" s="10">
        <v>346.25</v>
      </c>
      <c r="E88" s="10">
        <v>346.25</v>
      </c>
      <c r="F88" s="10">
        <v>0.01</v>
      </c>
      <c r="G88" s="9">
        <f t="shared" si="4"/>
        <v>26.556710000000002</v>
      </c>
      <c r="H88" s="13" t="s">
        <v>11</v>
      </c>
      <c r="I88" s="12"/>
      <c r="K88">
        <f t="shared" si="5"/>
        <v>346.25</v>
      </c>
      <c r="L88" s="1"/>
      <c r="M88" s="1"/>
      <c r="N88" s="1"/>
      <c r="T88" s="1"/>
      <c r="U88" s="1"/>
      <c r="V88" s="1"/>
      <c r="W88" s="1"/>
      <c r="X88" s="1"/>
      <c r="Y88" s="1"/>
      <c r="Z88" s="1"/>
      <c r="AA88" s="1"/>
    </row>
    <row r="89" spans="1:27" ht="14" x14ac:dyDescent="0.15">
      <c r="A89" s="9">
        <v>88</v>
      </c>
      <c r="B89" s="9" t="s">
        <v>104</v>
      </c>
      <c r="C89" s="9" t="s">
        <v>23</v>
      </c>
      <c r="D89" s="10">
        <v>338.86</v>
      </c>
      <c r="E89" s="10">
        <v>338.86</v>
      </c>
      <c r="F89" s="10">
        <v>0.2</v>
      </c>
      <c r="G89" s="9">
        <f t="shared" si="4"/>
        <v>26.895570000000003</v>
      </c>
      <c r="H89" s="13" t="s">
        <v>11</v>
      </c>
      <c r="I89" s="12"/>
      <c r="K89">
        <f t="shared" si="5"/>
        <v>338.86</v>
      </c>
      <c r="L89" s="1"/>
      <c r="M89" s="1"/>
      <c r="N89" s="1"/>
      <c r="T89" s="1"/>
      <c r="U89" s="1"/>
      <c r="V89" s="1"/>
      <c r="W89" s="1"/>
      <c r="X89" s="1"/>
      <c r="Y89" s="1"/>
      <c r="Z89" s="1"/>
      <c r="AA89" s="1"/>
    </row>
    <row r="90" spans="1:27" ht="14" x14ac:dyDescent="0.15">
      <c r="A90" s="9">
        <v>89</v>
      </c>
      <c r="B90" s="9" t="s">
        <v>105</v>
      </c>
      <c r="C90" s="9" t="s">
        <v>23</v>
      </c>
      <c r="D90" s="10">
        <v>352.46</v>
      </c>
      <c r="E90" s="10">
        <v>352.46</v>
      </c>
      <c r="F90" s="10">
        <v>0.23</v>
      </c>
      <c r="G90" s="9">
        <f t="shared" si="4"/>
        <v>27.248030000000004</v>
      </c>
      <c r="H90" s="13" t="s">
        <v>11</v>
      </c>
      <c r="I90" s="12"/>
      <c r="K90">
        <f t="shared" si="5"/>
        <v>352.46</v>
      </c>
      <c r="L90" s="1"/>
      <c r="M90" s="1"/>
      <c r="N90" s="1"/>
      <c r="T90" s="1"/>
      <c r="U90" s="1"/>
      <c r="V90" s="1"/>
      <c r="W90" s="1"/>
      <c r="X90" s="1"/>
      <c r="Y90" s="1"/>
      <c r="Z90" s="1"/>
      <c r="AA90" s="1"/>
    </row>
    <row r="91" spans="1:27" ht="14" x14ac:dyDescent="0.15">
      <c r="A91" s="9">
        <v>90</v>
      </c>
      <c r="B91" s="9" t="s">
        <v>106</v>
      </c>
      <c r="C91" s="9" t="s">
        <v>23</v>
      </c>
      <c r="D91" s="10">
        <v>342.21</v>
      </c>
      <c r="E91" s="10">
        <v>342.21</v>
      </c>
      <c r="F91" s="10">
        <v>0.06</v>
      </c>
      <c r="G91" s="9">
        <f t="shared" si="4"/>
        <v>27.590240000000005</v>
      </c>
      <c r="H91" s="13" t="s">
        <v>11</v>
      </c>
      <c r="I91" s="12"/>
      <c r="K91">
        <f t="shared" si="5"/>
        <v>342.21</v>
      </c>
      <c r="L91" s="1"/>
      <c r="M91" s="1"/>
      <c r="N91" s="1"/>
      <c r="T91" s="1"/>
      <c r="U91" s="1"/>
      <c r="V91" s="1"/>
      <c r="W91" s="1"/>
      <c r="X91" s="1"/>
      <c r="Y91" s="1"/>
      <c r="Z91" s="1"/>
      <c r="AA91" s="1"/>
    </row>
    <row r="92" spans="1:27" ht="14" x14ac:dyDescent="0.15">
      <c r="A92" s="9">
        <v>91</v>
      </c>
      <c r="B92" s="9" t="s">
        <v>107</v>
      </c>
      <c r="C92" s="9" t="s">
        <v>23</v>
      </c>
      <c r="D92" s="10">
        <v>333.3</v>
      </c>
      <c r="E92" s="10">
        <v>333.3</v>
      </c>
      <c r="F92" s="10">
        <v>0.42</v>
      </c>
      <c r="G92" s="9">
        <f t="shared" si="4"/>
        <v>27.923540000000006</v>
      </c>
      <c r="H92" s="13" t="s">
        <v>11</v>
      </c>
      <c r="I92" s="12"/>
      <c r="K92">
        <f t="shared" si="5"/>
        <v>333.3</v>
      </c>
      <c r="L92" s="1"/>
      <c r="M92" s="1"/>
      <c r="N92" s="1"/>
      <c r="T92" s="1"/>
      <c r="U92" s="1"/>
      <c r="V92" s="1"/>
      <c r="W92" s="1"/>
      <c r="X92" s="1"/>
      <c r="Y92" s="1"/>
      <c r="Z92" s="1"/>
      <c r="AA92" s="1"/>
    </row>
    <row r="93" spans="1:27" ht="14" x14ac:dyDescent="0.15">
      <c r="A93" s="9">
        <v>92</v>
      </c>
      <c r="B93" s="9" t="s">
        <v>108</v>
      </c>
      <c r="C93" s="9" t="s">
        <v>16</v>
      </c>
      <c r="D93" s="10">
        <v>295.44</v>
      </c>
      <c r="E93" s="10">
        <v>295.44</v>
      </c>
      <c r="F93" s="10">
        <v>4.45</v>
      </c>
      <c r="G93" s="9">
        <f t="shared" si="4"/>
        <v>28.218980000000006</v>
      </c>
      <c r="H93" s="13" t="s">
        <v>11</v>
      </c>
      <c r="I93" s="12"/>
      <c r="K93">
        <f t="shared" si="5"/>
        <v>295.44</v>
      </c>
      <c r="L93" s="1"/>
      <c r="M93" s="1"/>
      <c r="N93" s="1"/>
      <c r="T93" s="1"/>
      <c r="U93" s="1"/>
      <c r="V93" s="1"/>
      <c r="W93" s="1"/>
      <c r="X93" s="1"/>
      <c r="Y93" s="1"/>
      <c r="Z93" s="1"/>
      <c r="AA93" s="1"/>
    </row>
    <row r="94" spans="1:27" ht="14" x14ac:dyDescent="0.15">
      <c r="A94" s="9">
        <v>93</v>
      </c>
      <c r="B94" s="9" t="s">
        <v>109</v>
      </c>
      <c r="C94" s="9" t="s">
        <v>23</v>
      </c>
      <c r="D94" s="10">
        <v>267.89</v>
      </c>
      <c r="E94" s="10">
        <v>267.89</v>
      </c>
      <c r="F94" s="10">
        <v>0.66</v>
      </c>
      <c r="G94" s="9">
        <f t="shared" si="4"/>
        <v>28.486870000000007</v>
      </c>
      <c r="H94" s="13" t="s">
        <v>11</v>
      </c>
      <c r="I94" s="12"/>
      <c r="K94">
        <f t="shared" si="5"/>
        <v>267.89</v>
      </c>
      <c r="L94" s="1"/>
      <c r="M94" s="1"/>
      <c r="N94" s="1"/>
      <c r="T94" s="1"/>
      <c r="U94" s="1"/>
      <c r="V94" s="1"/>
      <c r="W94" s="1"/>
      <c r="X94" s="1"/>
      <c r="Y94" s="1"/>
      <c r="Z94" s="1"/>
      <c r="AA94" s="1"/>
    </row>
    <row r="95" spans="1:27" ht="14" x14ac:dyDescent="0.15">
      <c r="A95" s="9">
        <v>94</v>
      </c>
      <c r="B95" s="9" t="s">
        <v>110</v>
      </c>
      <c r="C95" s="9" t="s">
        <v>28</v>
      </c>
      <c r="D95" s="10">
        <v>350.27</v>
      </c>
      <c r="E95" s="10">
        <v>358.77</v>
      </c>
      <c r="F95" s="10">
        <v>22.14</v>
      </c>
      <c r="G95" s="9">
        <f t="shared" si="4"/>
        <v>28.845640000000007</v>
      </c>
      <c r="H95" s="13" t="s">
        <v>11</v>
      </c>
      <c r="I95" s="12"/>
      <c r="J95" s="7">
        <f>D95+8.5</f>
        <v>358.77</v>
      </c>
      <c r="K95">
        <f t="shared" si="5"/>
        <v>358.77</v>
      </c>
      <c r="L95" s="1"/>
      <c r="M95" s="1"/>
      <c r="N95" s="1"/>
      <c r="T95" s="1"/>
      <c r="U95" s="1"/>
      <c r="V95" s="1"/>
      <c r="W95" s="1"/>
      <c r="X95" s="1"/>
      <c r="Y95" s="1"/>
      <c r="Z95" s="1"/>
      <c r="AA95" s="1"/>
    </row>
    <row r="96" spans="1:27" ht="14" x14ac:dyDescent="0.15">
      <c r="A96" s="9">
        <v>95</v>
      </c>
      <c r="B96" s="9" t="s">
        <v>111</v>
      </c>
      <c r="C96" s="9" t="s">
        <v>23</v>
      </c>
      <c r="D96" s="10">
        <v>347.65</v>
      </c>
      <c r="E96" s="10">
        <v>347.65</v>
      </c>
      <c r="F96" s="10">
        <v>0.68</v>
      </c>
      <c r="G96" s="9">
        <f t="shared" si="4"/>
        <v>29.193290000000008</v>
      </c>
      <c r="H96" s="13" t="s">
        <v>11</v>
      </c>
      <c r="I96" s="12"/>
      <c r="K96">
        <f t="shared" si="5"/>
        <v>347.65</v>
      </c>
      <c r="L96" s="1"/>
      <c r="M96" s="1"/>
      <c r="N96" s="1"/>
      <c r="T96" s="1"/>
      <c r="U96" s="1"/>
      <c r="V96" s="1"/>
      <c r="W96" s="1"/>
      <c r="X96" s="1"/>
      <c r="Y96" s="1"/>
      <c r="Z96" s="1"/>
      <c r="AA96" s="1"/>
    </row>
    <row r="97" spans="1:27" ht="14" x14ac:dyDescent="0.15">
      <c r="A97" s="9">
        <v>96</v>
      </c>
      <c r="B97" s="9" t="s">
        <v>112</v>
      </c>
      <c r="C97" s="9" t="s">
        <v>23</v>
      </c>
      <c r="D97" s="10">
        <v>349.11</v>
      </c>
      <c r="E97" s="10">
        <v>349.11</v>
      </c>
      <c r="F97" s="10">
        <v>0.52</v>
      </c>
      <c r="G97" s="9">
        <f t="shared" si="4"/>
        <v>29.542400000000008</v>
      </c>
      <c r="H97" s="13" t="s">
        <v>11</v>
      </c>
      <c r="I97" s="12"/>
      <c r="K97">
        <f t="shared" si="5"/>
        <v>349.11</v>
      </c>
      <c r="L97" s="1"/>
      <c r="M97" s="1"/>
      <c r="N97" s="1"/>
      <c r="T97" s="1"/>
      <c r="U97" s="1"/>
      <c r="V97" s="1"/>
      <c r="W97" s="1"/>
      <c r="X97" s="1"/>
      <c r="Y97" s="1"/>
      <c r="Z97" s="1"/>
      <c r="AA97" s="1"/>
    </row>
    <row r="98" spans="1:27" ht="14" x14ac:dyDescent="0.15">
      <c r="A98" s="9">
        <v>97</v>
      </c>
      <c r="B98" s="9" t="s">
        <v>113</v>
      </c>
      <c r="C98" s="9" t="s">
        <v>23</v>
      </c>
      <c r="D98" s="10">
        <v>344.06</v>
      </c>
      <c r="E98" s="10">
        <v>344.06</v>
      </c>
      <c r="F98" s="10">
        <v>0.12</v>
      </c>
      <c r="G98" s="9">
        <f t="shared" si="4"/>
        <v>29.886460000000007</v>
      </c>
      <c r="H98" s="13" t="s">
        <v>11</v>
      </c>
      <c r="I98" s="12"/>
      <c r="K98">
        <f t="shared" si="5"/>
        <v>344.06</v>
      </c>
      <c r="L98" s="1"/>
      <c r="M98" s="1"/>
      <c r="N98" s="1"/>
      <c r="T98" s="1"/>
      <c r="U98" s="1"/>
      <c r="V98" s="1"/>
      <c r="W98" s="1"/>
      <c r="X98" s="1"/>
      <c r="Y98" s="1"/>
      <c r="Z98" s="1"/>
      <c r="AA98" s="1"/>
    </row>
    <row r="99" spans="1:27" ht="14" x14ac:dyDescent="0.15">
      <c r="A99" s="9">
        <v>98</v>
      </c>
      <c r="B99" s="9" t="s">
        <v>114</v>
      </c>
      <c r="C99" s="9" t="s">
        <v>23</v>
      </c>
      <c r="D99" s="10">
        <v>359.36</v>
      </c>
      <c r="E99" s="10">
        <v>359.36</v>
      </c>
      <c r="F99" s="10">
        <v>0.17</v>
      </c>
      <c r="G99" s="9">
        <f t="shared" si="4"/>
        <v>30.245820000000005</v>
      </c>
      <c r="H99" s="13" t="s">
        <v>11</v>
      </c>
      <c r="I99" s="12"/>
      <c r="K99">
        <f t="shared" si="5"/>
        <v>359.36</v>
      </c>
      <c r="L99" s="1"/>
      <c r="M99" s="1"/>
      <c r="N99" s="1"/>
      <c r="T99" s="1"/>
      <c r="U99" s="1"/>
      <c r="V99" s="1"/>
      <c r="W99" s="1"/>
      <c r="X99" s="1"/>
      <c r="Y99" s="1"/>
      <c r="Z99" s="1"/>
      <c r="AA99" s="1"/>
    </row>
    <row r="100" spans="1:27" ht="14" x14ac:dyDescent="0.15">
      <c r="A100" s="9">
        <v>99</v>
      </c>
      <c r="B100" s="9" t="s">
        <v>115</v>
      </c>
      <c r="C100" s="9" t="s">
        <v>23</v>
      </c>
      <c r="D100" s="10">
        <v>355.88</v>
      </c>
      <c r="E100" s="10">
        <v>355.88</v>
      </c>
      <c r="F100" s="10">
        <v>0.46</v>
      </c>
      <c r="G100" s="9">
        <f t="shared" si="4"/>
        <v>30.601700000000005</v>
      </c>
      <c r="H100" s="13" t="s">
        <v>11</v>
      </c>
      <c r="I100" s="12"/>
      <c r="K100">
        <f t="shared" si="5"/>
        <v>355.88</v>
      </c>
      <c r="L100" s="1"/>
      <c r="M100" s="1"/>
      <c r="N100" s="1"/>
      <c r="T100" s="1"/>
      <c r="U100" s="1"/>
      <c r="V100" s="1"/>
      <c r="W100" s="1"/>
      <c r="X100" s="1"/>
      <c r="Y100" s="1"/>
      <c r="Z100" s="1"/>
      <c r="AA100" s="1"/>
    </row>
    <row r="101" spans="1:27" ht="14" x14ac:dyDescent="0.15">
      <c r="A101" s="9">
        <v>100</v>
      </c>
      <c r="B101" s="9" t="s">
        <v>116</v>
      </c>
      <c r="C101" s="9" t="s">
        <v>23</v>
      </c>
      <c r="D101" s="10">
        <v>349.27</v>
      </c>
      <c r="E101" s="10">
        <v>349.27</v>
      </c>
      <c r="F101" s="10">
        <v>0.7</v>
      </c>
      <c r="G101" s="9">
        <f t="shared" si="4"/>
        <v>30.950970000000005</v>
      </c>
      <c r="H101" s="13" t="s">
        <v>11</v>
      </c>
      <c r="I101" s="12"/>
      <c r="K101">
        <f t="shared" si="5"/>
        <v>349.27</v>
      </c>
      <c r="L101" s="1"/>
      <c r="M101" s="1"/>
      <c r="N101" s="1"/>
      <c r="T101" s="1"/>
      <c r="U101" s="1"/>
      <c r="V101" s="1"/>
      <c r="W101" s="1"/>
      <c r="X101" s="1"/>
      <c r="Y101" s="1"/>
      <c r="Z101" s="1"/>
      <c r="AA101" s="1"/>
    </row>
    <row r="102" spans="1:27" ht="14" x14ac:dyDescent="0.15">
      <c r="A102" s="9">
        <v>101</v>
      </c>
      <c r="B102" s="9" t="s">
        <v>117</v>
      </c>
      <c r="C102" s="9" t="s">
        <v>23</v>
      </c>
      <c r="D102" s="10">
        <v>350.44</v>
      </c>
      <c r="E102" s="10">
        <v>350.44</v>
      </c>
      <c r="F102" s="10">
        <v>0.16</v>
      </c>
      <c r="G102" s="9">
        <f t="shared" si="4"/>
        <v>31.301410000000004</v>
      </c>
      <c r="H102" s="13" t="s">
        <v>11</v>
      </c>
      <c r="I102" s="12"/>
      <c r="K102">
        <f t="shared" si="5"/>
        <v>350.44</v>
      </c>
      <c r="L102" s="1"/>
      <c r="M102" s="1"/>
      <c r="N102" s="1"/>
      <c r="T102" s="1"/>
      <c r="U102" s="1"/>
      <c r="V102" s="1"/>
      <c r="W102" s="1"/>
      <c r="X102" s="1"/>
      <c r="Y102" s="1"/>
      <c r="Z102" s="1"/>
      <c r="AA102" s="1"/>
    </row>
    <row r="103" spans="1:27" ht="56" x14ac:dyDescent="0.15">
      <c r="A103" s="9">
        <v>102</v>
      </c>
      <c r="B103" s="9" t="s">
        <v>118</v>
      </c>
      <c r="C103" s="9" t="s">
        <v>28</v>
      </c>
      <c r="D103" s="10">
        <v>314.12</v>
      </c>
      <c r="E103" s="10">
        <v>322.62</v>
      </c>
      <c r="F103" s="10">
        <v>23.79</v>
      </c>
      <c r="G103" s="9">
        <f t="shared" si="4"/>
        <v>31.624030000000005</v>
      </c>
      <c r="H103" s="13" t="s">
        <v>119</v>
      </c>
      <c r="I103" s="12" t="s">
        <v>120</v>
      </c>
      <c r="J103" s="7">
        <f>D103+8.5</f>
        <v>322.62</v>
      </c>
      <c r="K103">
        <f t="shared" si="5"/>
        <v>322.62</v>
      </c>
      <c r="L103" s="1"/>
      <c r="M103" s="1"/>
      <c r="N103" s="1"/>
      <c r="T103" s="1"/>
      <c r="U103" s="1"/>
      <c r="V103" s="1"/>
      <c r="W103" s="1"/>
      <c r="X103" s="1"/>
      <c r="Y103" s="1"/>
      <c r="Z103" s="1"/>
      <c r="AA103" s="1"/>
    </row>
    <row r="104" spans="1:27" ht="14" x14ac:dyDescent="0.15">
      <c r="A104" s="9">
        <v>103</v>
      </c>
      <c r="B104" s="9" t="s">
        <v>121</v>
      </c>
      <c r="C104" s="9" t="s">
        <v>23</v>
      </c>
      <c r="D104" s="10">
        <v>332.01</v>
      </c>
      <c r="E104" s="10">
        <v>332.01</v>
      </c>
      <c r="F104" s="10">
        <v>0.05</v>
      </c>
      <c r="G104" s="9">
        <f t="shared" si="4"/>
        <v>31.956040000000005</v>
      </c>
      <c r="H104" s="13" t="s">
        <v>119</v>
      </c>
      <c r="I104" s="12"/>
      <c r="K104">
        <f t="shared" si="5"/>
        <v>332.01</v>
      </c>
      <c r="L104" s="1"/>
      <c r="M104" s="1"/>
      <c r="N104" s="1"/>
      <c r="T104" s="1"/>
      <c r="U104" s="1"/>
      <c r="V104" s="1"/>
      <c r="W104" s="1"/>
      <c r="X104" s="1"/>
      <c r="Y104" s="1"/>
      <c r="Z104" s="1"/>
      <c r="AA104" s="1"/>
    </row>
    <row r="105" spans="1:27" ht="14" x14ac:dyDescent="0.15">
      <c r="A105" s="9">
        <v>104</v>
      </c>
      <c r="B105" s="9" t="s">
        <v>122</v>
      </c>
      <c r="C105" s="9" t="s">
        <v>23</v>
      </c>
      <c r="D105" s="10">
        <v>348.92</v>
      </c>
      <c r="E105" s="10">
        <v>348.92</v>
      </c>
      <c r="F105" s="10">
        <v>0</v>
      </c>
      <c r="G105" s="9">
        <f t="shared" si="4"/>
        <v>32.304960000000008</v>
      </c>
      <c r="H105" s="13" t="s">
        <v>119</v>
      </c>
      <c r="I105" s="12"/>
      <c r="K105">
        <f t="shared" si="5"/>
        <v>348.92</v>
      </c>
      <c r="L105" s="1"/>
      <c r="M105" s="1"/>
      <c r="N105" s="1"/>
      <c r="T105" s="1"/>
      <c r="U105" s="1"/>
      <c r="V105" s="1"/>
      <c r="W105" s="1"/>
      <c r="X105" s="1"/>
      <c r="Y105" s="1"/>
      <c r="Z105" s="1"/>
      <c r="AA105" s="1"/>
    </row>
    <row r="106" spans="1:27" ht="14" x14ac:dyDescent="0.15">
      <c r="A106" s="9">
        <v>105</v>
      </c>
      <c r="B106" s="9" t="s">
        <v>123</v>
      </c>
      <c r="C106" s="9" t="s">
        <v>23</v>
      </c>
      <c r="D106" s="10">
        <v>355.94</v>
      </c>
      <c r="E106" s="10">
        <v>355.94</v>
      </c>
      <c r="F106" s="10">
        <v>0.87</v>
      </c>
      <c r="G106" s="9">
        <f t="shared" si="4"/>
        <v>32.660900000000005</v>
      </c>
      <c r="H106" s="13" t="s">
        <v>119</v>
      </c>
      <c r="I106" s="12"/>
      <c r="K106">
        <f t="shared" si="5"/>
        <v>355.94</v>
      </c>
      <c r="L106" s="1"/>
      <c r="M106" s="1"/>
      <c r="N106" s="1"/>
      <c r="T106" s="1"/>
      <c r="U106" s="1"/>
      <c r="V106" s="1"/>
      <c r="W106" s="1"/>
      <c r="X106" s="1"/>
      <c r="Y106" s="1"/>
      <c r="Z106" s="1"/>
      <c r="AA106" s="1"/>
    </row>
    <row r="107" spans="1:27" ht="14" x14ac:dyDescent="0.15">
      <c r="A107" s="9">
        <v>106</v>
      </c>
      <c r="B107" s="9" t="s">
        <v>124</v>
      </c>
      <c r="C107" s="9" t="s">
        <v>23</v>
      </c>
      <c r="D107" s="10">
        <v>357.59</v>
      </c>
      <c r="E107" s="10">
        <v>357.59</v>
      </c>
      <c r="F107" s="10">
        <v>1.59</v>
      </c>
      <c r="G107" s="9">
        <f t="shared" si="4"/>
        <v>33.018490000000007</v>
      </c>
      <c r="H107" s="13" t="s">
        <v>119</v>
      </c>
      <c r="I107" s="12"/>
      <c r="K107">
        <f t="shared" si="5"/>
        <v>357.59</v>
      </c>
      <c r="L107" s="1"/>
      <c r="M107" s="1"/>
      <c r="N107" s="1"/>
      <c r="T107" s="1"/>
      <c r="U107" s="1"/>
      <c r="V107" s="1"/>
      <c r="W107" s="1"/>
      <c r="X107" s="1"/>
      <c r="Y107" s="1"/>
      <c r="Z107" s="1"/>
      <c r="AA107" s="1"/>
    </row>
    <row r="108" spans="1:27" ht="14" x14ac:dyDescent="0.15">
      <c r="A108" s="9">
        <v>107</v>
      </c>
      <c r="B108" s="9" t="s">
        <v>125</v>
      </c>
      <c r="C108" s="9" t="s">
        <v>23</v>
      </c>
      <c r="D108" s="10">
        <v>333.28</v>
      </c>
      <c r="E108" s="10">
        <v>333.28</v>
      </c>
      <c r="F108" s="10">
        <v>0.59</v>
      </c>
      <c r="G108" s="9">
        <f t="shared" si="4"/>
        <v>33.351770000000009</v>
      </c>
      <c r="H108" s="13" t="s">
        <v>119</v>
      </c>
      <c r="I108" s="12"/>
      <c r="K108">
        <f t="shared" si="5"/>
        <v>333.28</v>
      </c>
      <c r="L108" s="1"/>
      <c r="M108" s="1"/>
      <c r="N108" s="1"/>
      <c r="T108" s="1"/>
      <c r="U108" s="1"/>
      <c r="V108" s="1"/>
      <c r="W108" s="1"/>
      <c r="X108" s="1"/>
      <c r="Y108" s="1"/>
      <c r="Z108" s="1"/>
      <c r="AA108" s="1"/>
    </row>
    <row r="109" spans="1:27" ht="14" x14ac:dyDescent="0.15">
      <c r="A109" s="9">
        <v>108</v>
      </c>
      <c r="B109" s="9" t="s">
        <v>126</v>
      </c>
      <c r="C109" s="9" t="s">
        <v>23</v>
      </c>
      <c r="D109" s="10">
        <v>343.11</v>
      </c>
      <c r="E109" s="10">
        <v>343.11</v>
      </c>
      <c r="F109" s="10">
        <v>0.45</v>
      </c>
      <c r="G109" s="9">
        <f t="shared" si="4"/>
        <v>33.694880000000012</v>
      </c>
      <c r="H109" s="13" t="s">
        <v>119</v>
      </c>
      <c r="I109" s="12"/>
      <c r="K109">
        <f t="shared" si="5"/>
        <v>343.11</v>
      </c>
      <c r="L109" s="1"/>
      <c r="M109" s="1"/>
      <c r="N109" s="1"/>
      <c r="T109" s="1"/>
      <c r="U109" s="1"/>
      <c r="V109" s="1"/>
      <c r="W109" s="1"/>
      <c r="X109" s="1"/>
      <c r="Y109" s="1"/>
      <c r="Z109" s="1"/>
      <c r="AA109" s="1"/>
    </row>
    <row r="110" spans="1:27" ht="14" x14ac:dyDescent="0.15">
      <c r="A110" s="9">
        <v>109</v>
      </c>
      <c r="B110" s="9" t="s">
        <v>127</v>
      </c>
      <c r="C110" s="9" t="s">
        <v>23</v>
      </c>
      <c r="D110" s="10">
        <v>354.52</v>
      </c>
      <c r="E110" s="10">
        <v>354.52</v>
      </c>
      <c r="F110" s="10">
        <v>0.12</v>
      </c>
      <c r="G110" s="9">
        <f t="shared" si="4"/>
        <v>34.049400000000013</v>
      </c>
      <c r="H110" s="13" t="s">
        <v>119</v>
      </c>
      <c r="I110" s="12"/>
      <c r="K110">
        <f t="shared" si="5"/>
        <v>354.52</v>
      </c>
      <c r="L110" s="1"/>
      <c r="M110" s="1"/>
      <c r="N110" s="1"/>
      <c r="T110" s="1"/>
      <c r="U110" s="1"/>
      <c r="V110" s="1"/>
      <c r="W110" s="1"/>
      <c r="X110" s="1"/>
      <c r="Y110" s="1"/>
      <c r="Z110" s="1"/>
      <c r="AA110" s="1"/>
    </row>
    <row r="111" spans="1:27" ht="14" x14ac:dyDescent="0.15">
      <c r="A111" s="9">
        <v>110</v>
      </c>
      <c r="B111" s="9" t="s">
        <v>128</v>
      </c>
      <c r="C111" s="9" t="s">
        <v>23</v>
      </c>
      <c r="D111" s="10">
        <v>341.65</v>
      </c>
      <c r="E111" s="10">
        <v>341.65</v>
      </c>
      <c r="F111" s="10">
        <v>1.1599999999999999</v>
      </c>
      <c r="G111" s="9">
        <f t="shared" si="4"/>
        <v>34.391050000000014</v>
      </c>
      <c r="H111" s="13" t="s">
        <v>119</v>
      </c>
      <c r="I111" s="12"/>
      <c r="K111">
        <f t="shared" si="5"/>
        <v>341.65</v>
      </c>
      <c r="L111" s="1"/>
      <c r="M111" s="1"/>
      <c r="N111" s="1"/>
      <c r="T111" s="1"/>
      <c r="U111" s="1"/>
      <c r="V111" s="1"/>
      <c r="W111" s="1"/>
      <c r="X111" s="1"/>
      <c r="Y111" s="1"/>
      <c r="Z111" s="1"/>
      <c r="AA111" s="1"/>
    </row>
    <row r="112" spans="1:27" ht="14" x14ac:dyDescent="0.15">
      <c r="A112" s="9">
        <v>111</v>
      </c>
      <c r="B112" s="9" t="s">
        <v>129</v>
      </c>
      <c r="C112" s="9" t="s">
        <v>28</v>
      </c>
      <c r="D112" s="10">
        <v>333.82</v>
      </c>
      <c r="E112" s="10">
        <v>342.32</v>
      </c>
      <c r="F112" s="10">
        <v>25.45</v>
      </c>
      <c r="G112" s="9">
        <f t="shared" si="4"/>
        <v>34.733370000000015</v>
      </c>
      <c r="H112" s="13" t="s">
        <v>119</v>
      </c>
      <c r="I112" s="12"/>
      <c r="J112" s="7">
        <f>D112+8.5</f>
        <v>342.32</v>
      </c>
      <c r="K112">
        <f t="shared" si="5"/>
        <v>342.32</v>
      </c>
      <c r="L112" s="1"/>
      <c r="M112" s="1"/>
      <c r="N112" s="1"/>
      <c r="T112" s="1"/>
      <c r="U112" s="1"/>
      <c r="V112" s="1"/>
      <c r="W112" s="1"/>
      <c r="X112" s="1"/>
      <c r="Y112" s="1"/>
      <c r="Z112" s="1"/>
      <c r="AA112" s="1"/>
    </row>
    <row r="113" spans="1:27" ht="14" x14ac:dyDescent="0.15">
      <c r="A113" s="9">
        <v>112</v>
      </c>
      <c r="B113" s="9" t="s">
        <v>130</v>
      </c>
      <c r="C113" s="9" t="s">
        <v>23</v>
      </c>
      <c r="D113" s="10">
        <v>350.59</v>
      </c>
      <c r="E113" s="10">
        <v>350.59</v>
      </c>
      <c r="F113" s="10">
        <v>0.82</v>
      </c>
      <c r="G113" s="9">
        <f t="shared" si="4"/>
        <v>35.083960000000012</v>
      </c>
      <c r="H113" s="13" t="s">
        <v>119</v>
      </c>
      <c r="I113" s="12"/>
      <c r="K113">
        <f t="shared" si="5"/>
        <v>350.59</v>
      </c>
      <c r="L113" s="1"/>
      <c r="M113" s="1"/>
      <c r="N113" s="1"/>
      <c r="T113" s="1"/>
      <c r="U113" s="1"/>
      <c r="V113" s="1"/>
      <c r="W113" s="1"/>
      <c r="X113" s="1"/>
      <c r="Y113" s="1"/>
      <c r="Z113" s="1"/>
      <c r="AA113" s="1"/>
    </row>
    <row r="114" spans="1:27" ht="14" x14ac:dyDescent="0.15">
      <c r="A114" s="9">
        <v>113</v>
      </c>
      <c r="B114" s="9" t="s">
        <v>131</v>
      </c>
      <c r="C114" s="9" t="s">
        <v>23</v>
      </c>
      <c r="D114" s="10">
        <v>350.27</v>
      </c>
      <c r="E114" s="10">
        <v>350.27</v>
      </c>
      <c r="F114" s="10">
        <v>0.36</v>
      </c>
      <c r="G114" s="9">
        <f t="shared" si="4"/>
        <v>35.434230000000014</v>
      </c>
      <c r="H114" s="13" t="s">
        <v>119</v>
      </c>
      <c r="I114" s="12"/>
      <c r="K114">
        <f t="shared" si="5"/>
        <v>350.27</v>
      </c>
      <c r="L114" s="1"/>
      <c r="M114" s="1"/>
      <c r="N114" s="1"/>
      <c r="T114" s="1"/>
      <c r="U114" s="1"/>
      <c r="V114" s="1"/>
      <c r="W114" s="1"/>
      <c r="X114" s="1"/>
      <c r="Y114" s="1"/>
      <c r="Z114" s="1"/>
      <c r="AA114" s="1"/>
    </row>
    <row r="115" spans="1:27" ht="14" x14ac:dyDescent="0.15">
      <c r="A115" s="9">
        <v>114</v>
      </c>
      <c r="B115" s="9" t="s">
        <v>132</v>
      </c>
      <c r="C115" s="9" t="s">
        <v>23</v>
      </c>
      <c r="D115" s="10">
        <v>350.76</v>
      </c>
      <c r="E115" s="10">
        <v>350.76</v>
      </c>
      <c r="F115" s="10">
        <v>0.54</v>
      </c>
      <c r="G115" s="9">
        <f t="shared" si="4"/>
        <v>35.784990000000015</v>
      </c>
      <c r="H115" s="13" t="s">
        <v>119</v>
      </c>
      <c r="I115" s="12"/>
      <c r="K115">
        <f t="shared" si="5"/>
        <v>350.76</v>
      </c>
      <c r="L115" s="1"/>
      <c r="M115" s="1"/>
      <c r="N115" s="1"/>
      <c r="T115" s="1"/>
      <c r="U115" s="1"/>
      <c r="V115" s="1"/>
      <c r="W115" s="1"/>
      <c r="X115" s="1"/>
      <c r="Y115" s="1"/>
      <c r="Z115" s="1"/>
      <c r="AA115" s="1"/>
    </row>
    <row r="116" spans="1:27" ht="14" x14ac:dyDescent="0.15">
      <c r="A116" s="9">
        <v>115</v>
      </c>
      <c r="B116" s="9" t="s">
        <v>133</v>
      </c>
      <c r="C116" s="9" t="s">
        <v>23</v>
      </c>
      <c r="D116" s="10">
        <v>349.59</v>
      </c>
      <c r="E116" s="10">
        <v>349.59</v>
      </c>
      <c r="F116" s="10">
        <v>0.15</v>
      </c>
      <c r="G116" s="9">
        <f t="shared" si="4"/>
        <v>36.134580000000014</v>
      </c>
      <c r="H116" s="13" t="s">
        <v>119</v>
      </c>
      <c r="I116" s="12"/>
      <c r="K116">
        <f t="shared" si="5"/>
        <v>349.59</v>
      </c>
      <c r="L116" s="1"/>
      <c r="M116" s="1"/>
      <c r="N116" s="1"/>
      <c r="T116" s="1"/>
      <c r="U116" s="1"/>
      <c r="V116" s="1"/>
      <c r="W116" s="1"/>
      <c r="X116" s="1"/>
      <c r="Y116" s="1"/>
      <c r="Z116" s="1"/>
      <c r="AA116" s="1"/>
    </row>
    <row r="117" spans="1:27" ht="14" x14ac:dyDescent="0.15">
      <c r="A117" s="9">
        <v>116</v>
      </c>
      <c r="B117" s="9" t="s">
        <v>134</v>
      </c>
      <c r="C117" s="9" t="s">
        <v>23</v>
      </c>
      <c r="D117" s="10">
        <v>327.25</v>
      </c>
      <c r="E117" s="10">
        <v>327.25</v>
      </c>
      <c r="F117" s="10">
        <v>0.39</v>
      </c>
      <c r="G117" s="9">
        <f t="shared" si="4"/>
        <v>36.461830000000013</v>
      </c>
      <c r="H117" s="13" t="s">
        <v>119</v>
      </c>
      <c r="I117" s="12"/>
      <c r="K117">
        <f t="shared" si="5"/>
        <v>327.25</v>
      </c>
      <c r="L117" s="1"/>
      <c r="M117" s="1"/>
      <c r="N117" s="1"/>
      <c r="T117" s="1"/>
      <c r="U117" s="1"/>
      <c r="V117" s="1"/>
      <c r="W117" s="1"/>
      <c r="X117" s="1"/>
      <c r="Y117" s="1"/>
      <c r="Z117" s="1"/>
      <c r="AA117" s="1"/>
    </row>
    <row r="118" spans="1:27" ht="14" x14ac:dyDescent="0.15">
      <c r="A118" s="9">
        <v>117</v>
      </c>
      <c r="B118" s="9" t="s">
        <v>135</v>
      </c>
      <c r="C118" s="9" t="s">
        <v>23</v>
      </c>
      <c r="D118" s="10">
        <v>347.24</v>
      </c>
      <c r="E118" s="10">
        <v>347.24</v>
      </c>
      <c r="F118" s="10">
        <v>0.71</v>
      </c>
      <c r="G118" s="9">
        <f t="shared" si="4"/>
        <v>36.809070000000013</v>
      </c>
      <c r="H118" s="13" t="s">
        <v>119</v>
      </c>
      <c r="I118" s="12"/>
      <c r="K118">
        <f t="shared" si="5"/>
        <v>347.24</v>
      </c>
      <c r="L118" s="1"/>
      <c r="M118" s="1"/>
      <c r="N118" s="1"/>
      <c r="T118" s="1"/>
      <c r="U118" s="1"/>
      <c r="V118" s="1"/>
      <c r="W118" s="1"/>
      <c r="X118" s="1"/>
      <c r="Y118" s="1"/>
      <c r="Z118" s="1"/>
      <c r="AA118" s="1"/>
    </row>
    <row r="119" spans="1:27" ht="14" x14ac:dyDescent="0.15">
      <c r="A119" s="9">
        <v>118</v>
      </c>
      <c r="B119" s="9" t="s">
        <v>136</v>
      </c>
      <c r="C119" s="9" t="s">
        <v>23</v>
      </c>
      <c r="D119" s="10">
        <v>348.58</v>
      </c>
      <c r="E119" s="10">
        <v>348.58</v>
      </c>
      <c r="F119" s="10">
        <v>0.34</v>
      </c>
      <c r="G119" s="9">
        <f t="shared" si="4"/>
        <v>37.157650000000011</v>
      </c>
      <c r="H119" s="13" t="s">
        <v>119</v>
      </c>
      <c r="I119" s="12"/>
      <c r="K119">
        <f t="shared" si="5"/>
        <v>348.58</v>
      </c>
      <c r="L119" s="1"/>
      <c r="M119" s="1"/>
      <c r="N119" s="1"/>
      <c r="T119" s="1"/>
      <c r="U119" s="1"/>
      <c r="V119" s="1"/>
      <c r="W119" s="1"/>
      <c r="X119" s="1"/>
      <c r="Y119" s="1"/>
      <c r="Z119" s="1"/>
      <c r="AA119" s="1"/>
    </row>
    <row r="120" spans="1:27" ht="14" x14ac:dyDescent="0.15">
      <c r="A120" s="9">
        <v>119</v>
      </c>
      <c r="B120" s="9" t="s">
        <v>137</v>
      </c>
      <c r="C120" s="9" t="s">
        <v>23</v>
      </c>
      <c r="D120" s="10">
        <v>349.27</v>
      </c>
      <c r="E120" s="10">
        <v>349.27</v>
      </c>
      <c r="F120" s="10">
        <v>0.39</v>
      </c>
      <c r="G120" s="9">
        <f t="shared" si="4"/>
        <v>37.506920000000008</v>
      </c>
      <c r="H120" s="13" t="s">
        <v>119</v>
      </c>
      <c r="I120" s="12"/>
      <c r="K120">
        <f t="shared" si="5"/>
        <v>349.27</v>
      </c>
      <c r="L120" s="1"/>
      <c r="M120" s="1"/>
      <c r="N120" s="1"/>
      <c r="T120" s="1"/>
      <c r="U120" s="1"/>
      <c r="V120" s="1"/>
      <c r="W120" s="1"/>
      <c r="X120" s="1"/>
      <c r="Y120" s="1"/>
      <c r="Z120" s="1"/>
      <c r="AA120" s="1"/>
    </row>
    <row r="121" spans="1:27" ht="14" x14ac:dyDescent="0.15">
      <c r="A121" s="9">
        <v>120</v>
      </c>
      <c r="B121" s="9" t="s">
        <v>138</v>
      </c>
      <c r="C121" s="9" t="s">
        <v>23</v>
      </c>
      <c r="D121" s="10">
        <v>346.57</v>
      </c>
      <c r="E121" s="10">
        <v>346.57</v>
      </c>
      <c r="F121" s="10">
        <v>0.44</v>
      </c>
      <c r="G121" s="9">
        <f t="shared" si="4"/>
        <v>37.853490000000008</v>
      </c>
      <c r="H121" s="13" t="s">
        <v>119</v>
      </c>
      <c r="I121" s="12"/>
      <c r="K121">
        <f t="shared" si="5"/>
        <v>346.57</v>
      </c>
      <c r="L121" s="1"/>
      <c r="M121" s="1"/>
      <c r="N121" s="1"/>
      <c r="T121" s="1"/>
      <c r="U121" s="1"/>
      <c r="V121" s="1"/>
      <c r="W121" s="1"/>
      <c r="X121" s="1"/>
      <c r="Y121" s="1"/>
      <c r="Z121" s="1"/>
      <c r="AA121" s="1"/>
    </row>
    <row r="122" spans="1:27" ht="14" x14ac:dyDescent="0.15">
      <c r="A122" s="9">
        <v>121</v>
      </c>
      <c r="B122" s="9" t="s">
        <v>139</v>
      </c>
      <c r="C122" s="9" t="s">
        <v>23</v>
      </c>
      <c r="D122" s="10">
        <v>322.55</v>
      </c>
      <c r="E122" s="10">
        <v>322.55</v>
      </c>
      <c r="F122" s="10">
        <v>0.35</v>
      </c>
      <c r="G122" s="9">
        <f t="shared" si="4"/>
        <v>38.176040000000008</v>
      </c>
      <c r="H122" s="13" t="s">
        <v>119</v>
      </c>
      <c r="I122" s="12"/>
      <c r="K122">
        <f t="shared" si="5"/>
        <v>322.55</v>
      </c>
      <c r="L122" s="1"/>
      <c r="M122" s="1"/>
      <c r="N122" s="1"/>
      <c r="T122" s="1"/>
      <c r="U122" s="1"/>
      <c r="V122" s="1"/>
      <c r="W122" s="1"/>
      <c r="X122" s="1"/>
      <c r="Y122" s="1"/>
      <c r="Z122" s="1"/>
      <c r="AA122" s="1"/>
    </row>
    <row r="123" spans="1:27" ht="14" x14ac:dyDescent="0.15">
      <c r="A123" s="9">
        <v>122</v>
      </c>
      <c r="B123" s="9" t="s">
        <v>140</v>
      </c>
      <c r="C123" s="9" t="s">
        <v>16</v>
      </c>
      <c r="D123" s="10">
        <v>321.47000000000003</v>
      </c>
      <c r="E123" s="10">
        <v>321.47000000000003</v>
      </c>
      <c r="F123" s="10">
        <v>5.95</v>
      </c>
      <c r="G123" s="9">
        <f t="shared" si="4"/>
        <v>38.497510000000005</v>
      </c>
      <c r="H123" s="13" t="s">
        <v>119</v>
      </c>
      <c r="I123" s="12"/>
      <c r="K123">
        <f t="shared" si="5"/>
        <v>321.47000000000003</v>
      </c>
      <c r="L123" s="1"/>
      <c r="M123" s="1"/>
      <c r="N123" s="1"/>
      <c r="T123" s="1"/>
      <c r="U123" s="1"/>
      <c r="V123" s="1"/>
      <c r="W123" s="1"/>
      <c r="X123" s="1"/>
      <c r="Y123" s="1"/>
      <c r="Z123" s="1"/>
      <c r="AA123" s="1"/>
    </row>
    <row r="124" spans="1:27" ht="14" x14ac:dyDescent="0.15">
      <c r="A124" s="9">
        <v>123</v>
      </c>
      <c r="B124" s="9" t="s">
        <v>141</v>
      </c>
      <c r="C124" s="9" t="s">
        <v>23</v>
      </c>
      <c r="D124" s="10">
        <v>351.16</v>
      </c>
      <c r="E124" s="10">
        <v>351.16</v>
      </c>
      <c r="F124" s="10">
        <v>0.34</v>
      </c>
      <c r="G124" s="9">
        <f t="shared" si="4"/>
        <v>38.848670000000006</v>
      </c>
      <c r="H124" s="13" t="s">
        <v>119</v>
      </c>
      <c r="I124" s="12"/>
      <c r="K124">
        <f t="shared" si="5"/>
        <v>351.16</v>
      </c>
      <c r="L124" s="1"/>
      <c r="M124" s="1"/>
      <c r="N124" s="1"/>
      <c r="T124" s="1"/>
      <c r="U124" s="1"/>
      <c r="V124" s="1"/>
      <c r="W124" s="1"/>
      <c r="X124" s="1"/>
      <c r="Y124" s="1"/>
      <c r="Z124" s="1"/>
      <c r="AA124" s="1"/>
    </row>
    <row r="125" spans="1:27" ht="14" x14ac:dyDescent="0.15">
      <c r="A125" s="9">
        <v>124</v>
      </c>
      <c r="B125" s="9" t="s">
        <v>142</v>
      </c>
      <c r="C125" s="9" t="s">
        <v>23</v>
      </c>
      <c r="D125" s="10">
        <v>322.49</v>
      </c>
      <c r="E125" s="10">
        <v>322.49</v>
      </c>
      <c r="F125" s="10">
        <v>0.35</v>
      </c>
      <c r="G125" s="9">
        <f t="shared" si="4"/>
        <v>39.171160000000008</v>
      </c>
      <c r="H125" s="13" t="s">
        <v>119</v>
      </c>
      <c r="I125" s="12"/>
      <c r="K125">
        <f t="shared" si="5"/>
        <v>322.49</v>
      </c>
      <c r="L125" s="1"/>
      <c r="M125" s="1"/>
      <c r="N125" s="1"/>
      <c r="T125" s="1"/>
      <c r="U125" s="1"/>
      <c r="V125" s="1"/>
      <c r="W125" s="1"/>
      <c r="X125" s="1"/>
      <c r="Y125" s="1"/>
      <c r="Z125" s="1"/>
      <c r="AA125" s="1"/>
    </row>
    <row r="126" spans="1:27" ht="14" x14ac:dyDescent="0.15">
      <c r="A126" s="9">
        <v>125</v>
      </c>
      <c r="B126" s="9" t="s">
        <v>143</v>
      </c>
      <c r="C126" s="9" t="s">
        <v>23</v>
      </c>
      <c r="D126" s="10">
        <v>348.01</v>
      </c>
      <c r="E126" s="10">
        <v>348.01</v>
      </c>
      <c r="F126" s="10">
        <v>0.01</v>
      </c>
      <c r="G126" s="9">
        <f t="shared" si="4"/>
        <v>39.51917000000001</v>
      </c>
      <c r="H126" s="13" t="s">
        <v>119</v>
      </c>
      <c r="I126" s="12"/>
      <c r="K126">
        <f t="shared" si="5"/>
        <v>348.01</v>
      </c>
      <c r="L126" s="1"/>
      <c r="M126" s="1"/>
      <c r="N126" s="1"/>
      <c r="T126" s="1"/>
      <c r="U126" s="1"/>
      <c r="V126" s="1"/>
      <c r="W126" s="1"/>
      <c r="X126" s="1"/>
      <c r="Y126" s="1"/>
      <c r="Z126" s="1"/>
      <c r="AA126" s="1"/>
    </row>
    <row r="127" spans="1:27" ht="14" x14ac:dyDescent="0.15">
      <c r="A127" s="9">
        <v>126</v>
      </c>
      <c r="B127" s="9" t="s">
        <v>144</v>
      </c>
      <c r="C127" s="9" t="s">
        <v>23</v>
      </c>
      <c r="D127" s="10">
        <v>329.67</v>
      </c>
      <c r="E127" s="10">
        <v>329.67</v>
      </c>
      <c r="F127" s="10">
        <v>0.13</v>
      </c>
      <c r="G127" s="9">
        <f t="shared" si="4"/>
        <v>39.84884000000001</v>
      </c>
      <c r="H127" s="13" t="s">
        <v>119</v>
      </c>
      <c r="I127" s="12"/>
      <c r="K127">
        <f t="shared" si="5"/>
        <v>329.67</v>
      </c>
      <c r="L127" s="1"/>
      <c r="M127" s="1"/>
      <c r="N127" s="1"/>
      <c r="T127" s="1"/>
      <c r="U127" s="1"/>
      <c r="V127" s="1"/>
      <c r="W127" s="1"/>
      <c r="X127" s="1"/>
      <c r="Y127" s="1"/>
      <c r="Z127" s="1"/>
      <c r="AA127" s="1"/>
    </row>
    <row r="128" spans="1:27" ht="14" x14ac:dyDescent="0.15">
      <c r="A128" s="9">
        <v>127</v>
      </c>
      <c r="B128" s="9" t="s">
        <v>145</v>
      </c>
      <c r="C128" s="9" t="s">
        <v>23</v>
      </c>
      <c r="D128" s="10">
        <v>317.39999999999998</v>
      </c>
      <c r="E128" s="10">
        <v>317.39999999999998</v>
      </c>
      <c r="F128" s="10">
        <v>0.1</v>
      </c>
      <c r="G128" s="9">
        <f t="shared" si="4"/>
        <v>40.166240000000009</v>
      </c>
      <c r="H128" s="13" t="s">
        <v>119</v>
      </c>
      <c r="I128" s="12"/>
      <c r="K128">
        <f t="shared" si="5"/>
        <v>317.39999999999998</v>
      </c>
      <c r="L128" s="1"/>
      <c r="M128" s="1"/>
      <c r="N128" s="1"/>
      <c r="T128" s="1"/>
      <c r="U128" s="1"/>
      <c r="V128" s="1"/>
      <c r="W128" s="1"/>
      <c r="X128" s="1"/>
      <c r="Y128" s="1"/>
      <c r="Z128" s="1"/>
      <c r="AA128" s="1"/>
    </row>
    <row r="129" spans="1:27" ht="14" x14ac:dyDescent="0.15">
      <c r="A129" s="9">
        <v>128</v>
      </c>
      <c r="B129" s="9" t="s">
        <v>146</v>
      </c>
      <c r="C129" s="9" t="s">
        <v>23</v>
      </c>
      <c r="D129" s="10">
        <v>341.89</v>
      </c>
      <c r="E129" s="10">
        <v>341.89</v>
      </c>
      <c r="F129" s="10">
        <v>0.01</v>
      </c>
      <c r="G129" s="9">
        <f t="shared" si="4"/>
        <v>40.508130000000008</v>
      </c>
      <c r="H129" s="13" t="s">
        <v>119</v>
      </c>
      <c r="I129" s="12"/>
      <c r="K129">
        <f t="shared" si="5"/>
        <v>341.89</v>
      </c>
      <c r="L129" s="1"/>
      <c r="M129" s="1"/>
      <c r="N129" s="1"/>
      <c r="T129" s="1"/>
      <c r="U129" s="1"/>
      <c r="V129" s="1"/>
      <c r="W129" s="1"/>
      <c r="X129" s="1"/>
      <c r="Y129" s="1"/>
      <c r="Z129" s="1"/>
      <c r="AA129" s="1"/>
    </row>
    <row r="130" spans="1:27" ht="14" x14ac:dyDescent="0.15">
      <c r="A130" s="9">
        <v>129</v>
      </c>
      <c r="B130" s="9" t="s">
        <v>147</v>
      </c>
      <c r="C130" s="9" t="s">
        <v>23</v>
      </c>
      <c r="D130" s="10">
        <v>335.56</v>
      </c>
      <c r="E130" s="10">
        <v>335.56</v>
      </c>
      <c r="F130" s="10">
        <v>1.0900000000000001</v>
      </c>
      <c r="G130" s="9">
        <f t="shared" si="4"/>
        <v>40.843690000000009</v>
      </c>
      <c r="H130" s="13" t="s">
        <v>119</v>
      </c>
      <c r="I130" s="12"/>
      <c r="K130">
        <f t="shared" si="5"/>
        <v>335.56</v>
      </c>
      <c r="L130" s="1"/>
      <c r="M130" s="1"/>
      <c r="N130" s="1"/>
      <c r="T130" s="1"/>
      <c r="U130" s="1"/>
      <c r="V130" s="1"/>
      <c r="W130" s="1"/>
      <c r="X130" s="1"/>
      <c r="Y130" s="1"/>
      <c r="Z130" s="1"/>
      <c r="AA130" s="1"/>
    </row>
    <row r="131" spans="1:27" ht="14" x14ac:dyDescent="0.15">
      <c r="A131" s="9">
        <v>130</v>
      </c>
      <c r="B131" s="9" t="s">
        <v>148</v>
      </c>
      <c r="C131" s="9" t="s">
        <v>28</v>
      </c>
      <c r="D131" s="10">
        <v>328.51</v>
      </c>
      <c r="E131" s="10">
        <v>337.01</v>
      </c>
      <c r="F131" s="10">
        <v>13.44</v>
      </c>
      <c r="G131" s="9">
        <f t="shared" si="4"/>
        <v>41.180700000000009</v>
      </c>
      <c r="H131" s="13" t="s">
        <v>119</v>
      </c>
      <c r="I131" s="12"/>
      <c r="J131" s="7">
        <f>D131+8.5</f>
        <v>337.01</v>
      </c>
      <c r="K131">
        <f t="shared" si="5"/>
        <v>337.01</v>
      </c>
      <c r="L131" s="1"/>
      <c r="M131" s="1"/>
      <c r="N131" s="1"/>
      <c r="T131" s="1"/>
      <c r="U131" s="1"/>
      <c r="V131" s="1"/>
      <c r="W131" s="1"/>
      <c r="X131" s="1"/>
      <c r="Y131" s="1"/>
      <c r="Z131" s="1"/>
      <c r="AA131" s="1"/>
    </row>
    <row r="132" spans="1:27" ht="14" x14ac:dyDescent="0.15">
      <c r="A132" s="9">
        <v>131</v>
      </c>
      <c r="B132" s="9" t="s">
        <v>149</v>
      </c>
      <c r="C132" s="9" t="s">
        <v>23</v>
      </c>
      <c r="D132" s="10">
        <v>349.85</v>
      </c>
      <c r="E132" s="10">
        <v>349.85</v>
      </c>
      <c r="F132" s="10">
        <v>1.1100000000000001</v>
      </c>
      <c r="G132" s="9">
        <f t="shared" ref="G132:G195" si="7">E132/1000+G131</f>
        <v>41.530550000000012</v>
      </c>
      <c r="H132" s="13" t="s">
        <v>119</v>
      </c>
      <c r="I132" s="12"/>
      <c r="K132">
        <f t="shared" ref="K132:K195" si="8">IF(J132&lt;&gt;"",J132,D132)</f>
        <v>349.85</v>
      </c>
      <c r="L132" s="1"/>
      <c r="M132" s="1"/>
      <c r="N132" s="1"/>
      <c r="T132" s="1"/>
      <c r="U132" s="1"/>
      <c r="V132" s="1"/>
      <c r="W132" s="1"/>
      <c r="X132" s="1"/>
      <c r="Y132" s="1"/>
      <c r="Z132" s="1"/>
      <c r="AA132" s="1"/>
    </row>
    <row r="133" spans="1:27" ht="14" x14ac:dyDescent="0.15">
      <c r="A133" s="9">
        <v>132</v>
      </c>
      <c r="B133" s="9" t="s">
        <v>150</v>
      </c>
      <c r="C133" s="9" t="s">
        <v>23</v>
      </c>
      <c r="D133" s="10">
        <v>333.69</v>
      </c>
      <c r="E133" s="10">
        <v>333.69</v>
      </c>
      <c r="F133" s="10">
        <v>0.33</v>
      </c>
      <c r="G133" s="9">
        <f t="shared" si="7"/>
        <v>41.864240000000009</v>
      </c>
      <c r="H133" s="13" t="s">
        <v>119</v>
      </c>
      <c r="I133" s="12"/>
      <c r="K133">
        <f t="shared" si="8"/>
        <v>333.69</v>
      </c>
      <c r="L133" s="1"/>
      <c r="M133" s="1"/>
      <c r="N133" s="1"/>
      <c r="T133" s="1"/>
      <c r="U133" s="1"/>
      <c r="V133" s="1"/>
      <c r="W133" s="1"/>
      <c r="X133" s="1"/>
      <c r="Y133" s="1"/>
      <c r="Z133" s="1"/>
      <c r="AA133" s="1"/>
    </row>
    <row r="134" spans="1:27" ht="14" x14ac:dyDescent="0.15">
      <c r="A134" s="9">
        <v>133</v>
      </c>
      <c r="B134" s="9" t="s">
        <v>151</v>
      </c>
      <c r="C134" s="9" t="s">
        <v>23</v>
      </c>
      <c r="D134" s="10">
        <v>320.02999999999997</v>
      </c>
      <c r="E134" s="10">
        <v>320.02999999999997</v>
      </c>
      <c r="F134" s="10">
        <v>0.05</v>
      </c>
      <c r="G134" s="9">
        <f t="shared" si="7"/>
        <v>42.184270000000012</v>
      </c>
      <c r="H134" s="13" t="s">
        <v>119</v>
      </c>
      <c r="I134" s="12"/>
      <c r="K134">
        <f t="shared" si="8"/>
        <v>320.02999999999997</v>
      </c>
      <c r="L134" s="1"/>
      <c r="M134" s="1"/>
      <c r="N134" s="1"/>
      <c r="T134" s="1"/>
      <c r="U134" s="1"/>
      <c r="V134" s="1"/>
      <c r="W134" s="1"/>
      <c r="X134" s="1"/>
      <c r="Y134" s="1"/>
      <c r="Z134" s="1"/>
      <c r="AA134" s="1"/>
    </row>
    <row r="135" spans="1:27" ht="14" x14ac:dyDescent="0.15">
      <c r="A135" s="9">
        <v>134</v>
      </c>
      <c r="B135" s="9" t="s">
        <v>152</v>
      </c>
      <c r="C135" s="9" t="s">
        <v>23</v>
      </c>
      <c r="D135" s="10">
        <v>361.02</v>
      </c>
      <c r="E135" s="10">
        <v>361.02</v>
      </c>
      <c r="F135" s="10">
        <v>0.15</v>
      </c>
      <c r="G135" s="9">
        <f t="shared" si="7"/>
        <v>42.545290000000016</v>
      </c>
      <c r="H135" s="13" t="s">
        <v>119</v>
      </c>
      <c r="I135" s="12"/>
      <c r="K135">
        <f t="shared" si="8"/>
        <v>361.02</v>
      </c>
      <c r="L135" s="1"/>
      <c r="M135" s="1"/>
      <c r="N135" s="1"/>
      <c r="T135" s="1"/>
      <c r="U135" s="1"/>
      <c r="V135" s="1"/>
      <c r="W135" s="1"/>
      <c r="X135" s="1"/>
      <c r="Y135" s="1"/>
      <c r="Z135" s="1"/>
      <c r="AA135" s="1"/>
    </row>
    <row r="136" spans="1:27" ht="14" x14ac:dyDescent="0.15">
      <c r="A136" s="9">
        <v>135</v>
      </c>
      <c r="B136" s="9" t="s">
        <v>153</v>
      </c>
      <c r="C136" s="9" t="s">
        <v>23</v>
      </c>
      <c r="D136" s="10">
        <v>314.83</v>
      </c>
      <c r="E136" s="10">
        <v>314.83</v>
      </c>
      <c r="F136" s="10">
        <v>0.69</v>
      </c>
      <c r="G136" s="9">
        <f t="shared" si="7"/>
        <v>42.860120000000016</v>
      </c>
      <c r="H136" s="13" t="s">
        <v>119</v>
      </c>
      <c r="I136" s="12"/>
      <c r="K136">
        <f t="shared" si="8"/>
        <v>314.83</v>
      </c>
      <c r="L136" s="1"/>
      <c r="M136" s="1"/>
      <c r="N136" s="1"/>
      <c r="T136" s="1"/>
      <c r="U136" s="1"/>
      <c r="V136" s="1"/>
      <c r="W136" s="1"/>
      <c r="X136" s="1"/>
      <c r="Y136" s="1"/>
      <c r="Z136" s="1"/>
      <c r="AA136" s="1"/>
    </row>
    <row r="137" spans="1:27" ht="14" x14ac:dyDescent="0.15">
      <c r="A137" s="9">
        <v>136</v>
      </c>
      <c r="B137" s="9" t="s">
        <v>154</v>
      </c>
      <c r="C137" s="9" t="s">
        <v>28</v>
      </c>
      <c r="D137" s="10">
        <v>260.68</v>
      </c>
      <c r="E137" s="10">
        <v>269.18</v>
      </c>
      <c r="F137" s="10">
        <v>15.13</v>
      </c>
      <c r="G137" s="9">
        <f t="shared" si="7"/>
        <v>43.129300000000015</v>
      </c>
      <c r="H137" s="13" t="s">
        <v>119</v>
      </c>
      <c r="I137" s="12"/>
      <c r="J137" s="7">
        <f>D137+8.5</f>
        <v>269.18</v>
      </c>
      <c r="K137">
        <f t="shared" si="8"/>
        <v>269.18</v>
      </c>
      <c r="L137" s="1"/>
      <c r="M137" s="1"/>
      <c r="N137" s="1"/>
      <c r="T137" s="1"/>
      <c r="U137" s="1"/>
      <c r="V137" s="1"/>
      <c r="W137" s="1"/>
      <c r="X137" s="1"/>
      <c r="Y137" s="1"/>
      <c r="Z137" s="1"/>
      <c r="AA137" s="1"/>
    </row>
    <row r="138" spans="1:27" ht="14" x14ac:dyDescent="0.15">
      <c r="A138" s="9">
        <v>137</v>
      </c>
      <c r="B138" s="9" t="s">
        <v>155</v>
      </c>
      <c r="C138" s="9" t="s">
        <v>23</v>
      </c>
      <c r="D138" s="10">
        <v>301.11</v>
      </c>
      <c r="E138" s="10">
        <v>301.11</v>
      </c>
      <c r="F138" s="10">
        <v>1.0900000000000001</v>
      </c>
      <c r="G138" s="9">
        <f t="shared" si="7"/>
        <v>43.430410000000016</v>
      </c>
      <c r="H138" s="13" t="s">
        <v>119</v>
      </c>
      <c r="I138" s="12"/>
      <c r="K138">
        <f t="shared" si="8"/>
        <v>301.11</v>
      </c>
      <c r="L138" s="1"/>
      <c r="M138" s="1"/>
      <c r="N138" s="1"/>
      <c r="T138" s="1"/>
      <c r="U138" s="1"/>
      <c r="V138" s="1"/>
      <c r="W138" s="1"/>
      <c r="X138" s="1"/>
      <c r="Y138" s="1"/>
      <c r="Z138" s="1"/>
      <c r="AA138" s="1"/>
    </row>
    <row r="139" spans="1:27" ht="14" x14ac:dyDescent="0.15">
      <c r="A139" s="9">
        <v>138</v>
      </c>
      <c r="B139" s="9" t="s">
        <v>156</v>
      </c>
      <c r="C139" s="9" t="s">
        <v>23</v>
      </c>
      <c r="D139" s="10">
        <v>293.82</v>
      </c>
      <c r="E139" s="10">
        <v>293.82</v>
      </c>
      <c r="F139" s="10">
        <v>0.32</v>
      </c>
      <c r="G139" s="9">
        <f t="shared" si="7"/>
        <v>43.724230000000013</v>
      </c>
      <c r="H139" s="13" t="s">
        <v>119</v>
      </c>
      <c r="I139" s="12"/>
      <c r="K139">
        <f t="shared" si="8"/>
        <v>293.82</v>
      </c>
      <c r="L139" s="1"/>
      <c r="M139" s="1"/>
      <c r="N139" s="1"/>
      <c r="T139" s="1"/>
      <c r="U139" s="1"/>
      <c r="V139" s="1"/>
      <c r="W139" s="1"/>
      <c r="X139" s="1"/>
      <c r="Y139" s="1"/>
      <c r="Z139" s="1"/>
      <c r="AA139" s="1"/>
    </row>
    <row r="140" spans="1:27" ht="14" x14ac:dyDescent="0.15">
      <c r="A140" s="9">
        <v>139</v>
      </c>
      <c r="B140" s="9" t="s">
        <v>157</v>
      </c>
      <c r="C140" s="9" t="s">
        <v>23</v>
      </c>
      <c r="D140" s="10">
        <v>265.17</v>
      </c>
      <c r="E140" s="10">
        <v>265.17</v>
      </c>
      <c r="F140" s="10">
        <v>0.56000000000000005</v>
      </c>
      <c r="G140" s="9">
        <f t="shared" si="7"/>
        <v>43.98940000000001</v>
      </c>
      <c r="H140" s="13" t="s">
        <v>119</v>
      </c>
      <c r="I140" s="12"/>
      <c r="K140">
        <f t="shared" si="8"/>
        <v>265.17</v>
      </c>
      <c r="L140" s="1"/>
      <c r="M140" s="1"/>
      <c r="N140" s="1"/>
      <c r="T140" s="1"/>
      <c r="U140" s="1"/>
      <c r="V140" s="1"/>
      <c r="W140" s="1"/>
      <c r="X140" s="1"/>
      <c r="Y140" s="1"/>
      <c r="Z140" s="1"/>
      <c r="AA140" s="1"/>
    </row>
    <row r="141" spans="1:27" ht="14" x14ac:dyDescent="0.15">
      <c r="A141" s="9">
        <v>140</v>
      </c>
      <c r="B141" s="9" t="s">
        <v>158</v>
      </c>
      <c r="C141" s="9" t="s">
        <v>19</v>
      </c>
      <c r="D141" s="10">
        <v>275.62</v>
      </c>
      <c r="E141" s="10">
        <v>284.12</v>
      </c>
      <c r="F141" s="10">
        <v>32.43</v>
      </c>
      <c r="G141" s="9">
        <f t="shared" si="7"/>
        <v>44.273520000000012</v>
      </c>
      <c r="H141" s="13" t="s">
        <v>119</v>
      </c>
      <c r="I141" s="12"/>
      <c r="J141" s="7">
        <f>D141+8.5</f>
        <v>284.12</v>
      </c>
      <c r="K141">
        <f t="shared" si="8"/>
        <v>284.12</v>
      </c>
      <c r="L141" s="1"/>
      <c r="M141" s="1"/>
      <c r="N141" s="1"/>
      <c r="T141" s="1"/>
      <c r="U141" s="1"/>
      <c r="V141" s="1"/>
      <c r="W141" s="1"/>
      <c r="X141" s="1"/>
      <c r="Y141" s="1"/>
      <c r="Z141" s="1"/>
      <c r="AA141" s="1"/>
    </row>
    <row r="142" spans="1:27" ht="14" x14ac:dyDescent="0.15">
      <c r="A142" s="9">
        <v>141</v>
      </c>
      <c r="B142" s="9" t="s">
        <v>159</v>
      </c>
      <c r="C142" s="9" t="s">
        <v>23</v>
      </c>
      <c r="D142" s="10">
        <v>311.37</v>
      </c>
      <c r="E142" s="10">
        <v>311.37</v>
      </c>
      <c r="F142" s="10">
        <v>0.09</v>
      </c>
      <c r="G142" s="9">
        <f t="shared" si="7"/>
        <v>44.584890000000009</v>
      </c>
      <c r="H142" s="13" t="s">
        <v>119</v>
      </c>
      <c r="I142" s="12"/>
      <c r="K142">
        <f t="shared" si="8"/>
        <v>311.37</v>
      </c>
      <c r="L142" s="1"/>
      <c r="M142" s="1"/>
      <c r="N142" s="1"/>
      <c r="T142" s="1"/>
      <c r="U142" s="1"/>
      <c r="V142" s="1"/>
      <c r="W142" s="1"/>
      <c r="X142" s="1"/>
      <c r="Y142" s="1"/>
      <c r="Z142" s="1"/>
      <c r="AA142" s="1"/>
    </row>
    <row r="143" spans="1:27" ht="14" x14ac:dyDescent="0.15">
      <c r="A143" s="9">
        <v>142</v>
      </c>
      <c r="B143" s="9" t="s">
        <v>160</v>
      </c>
      <c r="C143" s="9" t="s">
        <v>23</v>
      </c>
      <c r="D143" s="10">
        <v>283.70999999999998</v>
      </c>
      <c r="E143" s="10">
        <v>283.70999999999998</v>
      </c>
      <c r="F143" s="10">
        <v>0.39</v>
      </c>
      <c r="G143" s="9">
        <f t="shared" si="7"/>
        <v>44.868600000000008</v>
      </c>
      <c r="H143" s="13" t="s">
        <v>119</v>
      </c>
      <c r="I143" s="12"/>
      <c r="K143">
        <f t="shared" si="8"/>
        <v>283.70999999999998</v>
      </c>
      <c r="L143" s="1"/>
      <c r="M143" s="1"/>
      <c r="N143" s="1"/>
      <c r="T143" s="1"/>
      <c r="U143" s="1"/>
      <c r="V143" s="1"/>
      <c r="W143" s="1"/>
      <c r="X143" s="1"/>
      <c r="Y143" s="1"/>
      <c r="Z143" s="1"/>
      <c r="AA143" s="1"/>
    </row>
    <row r="144" spans="1:27" ht="14" x14ac:dyDescent="0.15">
      <c r="A144" s="9">
        <v>143</v>
      </c>
      <c r="B144" s="9" t="s">
        <v>161</v>
      </c>
      <c r="C144" s="9" t="s">
        <v>23</v>
      </c>
      <c r="D144" s="10">
        <v>261.13</v>
      </c>
      <c r="E144" s="10">
        <v>261.13</v>
      </c>
      <c r="F144" s="10">
        <v>0.76</v>
      </c>
      <c r="G144" s="9">
        <f t="shared" si="7"/>
        <v>45.129730000000009</v>
      </c>
      <c r="H144" s="13" t="s">
        <v>119</v>
      </c>
      <c r="I144" s="12"/>
      <c r="K144">
        <f t="shared" si="8"/>
        <v>261.13</v>
      </c>
      <c r="L144" s="1"/>
      <c r="M144" s="1"/>
      <c r="N144" s="1"/>
      <c r="T144" s="1"/>
      <c r="U144" s="1"/>
      <c r="V144" s="1"/>
      <c r="W144" s="1"/>
      <c r="X144" s="1"/>
      <c r="Y144" s="1"/>
      <c r="Z144" s="1"/>
      <c r="AA144" s="1"/>
    </row>
    <row r="145" spans="1:27" ht="14" x14ac:dyDescent="0.15">
      <c r="A145" s="9">
        <v>144</v>
      </c>
      <c r="B145" s="9" t="s">
        <v>162</v>
      </c>
      <c r="C145" s="9" t="s">
        <v>16</v>
      </c>
      <c r="D145" s="10">
        <v>339.69</v>
      </c>
      <c r="E145" s="10">
        <v>339.69</v>
      </c>
      <c r="F145" s="10">
        <v>13.61</v>
      </c>
      <c r="G145" s="9">
        <f t="shared" si="7"/>
        <v>45.469420000000007</v>
      </c>
      <c r="H145" s="13" t="s">
        <v>119</v>
      </c>
      <c r="I145" s="12"/>
      <c r="K145">
        <f t="shared" si="8"/>
        <v>339.69</v>
      </c>
      <c r="L145" s="1"/>
      <c r="M145" s="1"/>
      <c r="N145" s="1"/>
      <c r="T145" s="1"/>
      <c r="U145" s="1"/>
      <c r="V145" s="1"/>
      <c r="W145" s="1"/>
      <c r="X145" s="1"/>
      <c r="Y145" s="1"/>
      <c r="Z145" s="1"/>
      <c r="AA145" s="1"/>
    </row>
    <row r="146" spans="1:27" ht="14" x14ac:dyDescent="0.15">
      <c r="A146" s="9">
        <v>145</v>
      </c>
      <c r="B146" s="9" t="s">
        <v>163</v>
      </c>
      <c r="C146" s="9" t="s">
        <v>23</v>
      </c>
      <c r="D146" s="10">
        <v>349.13</v>
      </c>
      <c r="E146" s="10">
        <v>349.13</v>
      </c>
      <c r="F146" s="10">
        <v>0.05</v>
      </c>
      <c r="G146" s="9">
        <f t="shared" si="7"/>
        <v>45.818550000000009</v>
      </c>
      <c r="H146" s="13" t="s">
        <v>119</v>
      </c>
      <c r="I146" s="12"/>
      <c r="K146">
        <f t="shared" si="8"/>
        <v>349.13</v>
      </c>
      <c r="L146" s="1"/>
      <c r="M146" s="1"/>
      <c r="N146" s="1"/>
      <c r="T146" s="1"/>
      <c r="U146" s="1"/>
      <c r="V146" s="1"/>
      <c r="W146" s="1"/>
      <c r="X146" s="1"/>
      <c r="Y146" s="1"/>
      <c r="Z146" s="1"/>
      <c r="AA146" s="1"/>
    </row>
    <row r="147" spans="1:27" ht="14" x14ac:dyDescent="0.15">
      <c r="A147" s="9">
        <v>146</v>
      </c>
      <c r="B147" s="9" t="s">
        <v>164</v>
      </c>
      <c r="C147" s="9" t="s">
        <v>23</v>
      </c>
      <c r="D147" s="10">
        <v>353.35</v>
      </c>
      <c r="E147" s="10">
        <v>353.35</v>
      </c>
      <c r="F147" s="10">
        <v>0.04</v>
      </c>
      <c r="G147" s="9">
        <f t="shared" si="7"/>
        <v>46.171900000000008</v>
      </c>
      <c r="H147" s="13" t="s">
        <v>119</v>
      </c>
      <c r="I147" s="12"/>
      <c r="K147">
        <f t="shared" si="8"/>
        <v>353.35</v>
      </c>
      <c r="L147" s="1"/>
      <c r="M147" s="1"/>
      <c r="N147" s="1"/>
      <c r="T147" s="1"/>
      <c r="U147" s="1"/>
      <c r="V147" s="1"/>
      <c r="W147" s="1"/>
      <c r="X147" s="1"/>
      <c r="Y147" s="1"/>
      <c r="Z147" s="1"/>
      <c r="AA147" s="1"/>
    </row>
    <row r="148" spans="1:27" ht="14" x14ac:dyDescent="0.15">
      <c r="A148" s="9">
        <v>147</v>
      </c>
      <c r="B148" s="9" t="s">
        <v>165</v>
      </c>
      <c r="C148" s="9" t="s">
        <v>23</v>
      </c>
      <c r="D148" s="10">
        <v>355.05</v>
      </c>
      <c r="E148" s="10">
        <v>355.05</v>
      </c>
      <c r="F148" s="10">
        <v>0.49</v>
      </c>
      <c r="G148" s="9">
        <f t="shared" si="7"/>
        <v>46.526950000000006</v>
      </c>
      <c r="H148" s="13" t="s">
        <v>119</v>
      </c>
      <c r="I148" s="12"/>
      <c r="K148">
        <f t="shared" si="8"/>
        <v>355.05</v>
      </c>
      <c r="L148" s="1"/>
      <c r="M148" s="1"/>
      <c r="N148" s="1"/>
      <c r="T148" s="1"/>
      <c r="U148" s="1"/>
      <c r="V148" s="1"/>
      <c r="W148" s="1"/>
      <c r="X148" s="1"/>
      <c r="Y148" s="1"/>
      <c r="Z148" s="1"/>
      <c r="AA148" s="1"/>
    </row>
    <row r="149" spans="1:27" ht="14" x14ac:dyDescent="0.15">
      <c r="A149" s="9">
        <v>148</v>
      </c>
      <c r="B149" s="9" t="s">
        <v>166</v>
      </c>
      <c r="C149" s="9" t="s">
        <v>23</v>
      </c>
      <c r="D149" s="10">
        <v>325.58</v>
      </c>
      <c r="E149" s="10">
        <v>325.58</v>
      </c>
      <c r="F149" s="10">
        <v>1.05</v>
      </c>
      <c r="G149" s="9">
        <f t="shared" si="7"/>
        <v>46.852530000000009</v>
      </c>
      <c r="H149" s="13" t="s">
        <v>119</v>
      </c>
      <c r="I149" s="12"/>
      <c r="K149">
        <f t="shared" si="8"/>
        <v>325.58</v>
      </c>
      <c r="L149" s="1"/>
      <c r="M149" s="1"/>
      <c r="N149" s="1"/>
      <c r="T149" s="1"/>
      <c r="U149" s="1"/>
      <c r="V149" s="1"/>
      <c r="W149" s="1"/>
      <c r="X149" s="1"/>
      <c r="Y149" s="1"/>
      <c r="Z149" s="1"/>
      <c r="AA149" s="1"/>
    </row>
    <row r="150" spans="1:27" ht="14" x14ac:dyDescent="0.15">
      <c r="A150" s="9">
        <v>149</v>
      </c>
      <c r="B150" s="9" t="s">
        <v>167</v>
      </c>
      <c r="C150" s="9" t="s">
        <v>16</v>
      </c>
      <c r="D150" s="10">
        <v>351.11</v>
      </c>
      <c r="E150" s="10">
        <v>351.11</v>
      </c>
      <c r="F150" s="10">
        <v>4.7</v>
      </c>
      <c r="G150" s="9">
        <f t="shared" si="7"/>
        <v>47.203640000000007</v>
      </c>
      <c r="H150" s="13" t="s">
        <v>119</v>
      </c>
      <c r="I150" s="12"/>
      <c r="K150">
        <f t="shared" si="8"/>
        <v>351.11</v>
      </c>
      <c r="L150" s="1"/>
      <c r="M150" s="1"/>
      <c r="N150" s="1"/>
      <c r="T150" s="1"/>
      <c r="U150" s="1"/>
      <c r="V150" s="1"/>
      <c r="W150" s="1"/>
      <c r="X150" s="1"/>
      <c r="Y150" s="1"/>
      <c r="Z150" s="1"/>
      <c r="AA150" s="1"/>
    </row>
    <row r="151" spans="1:27" ht="14" x14ac:dyDescent="0.15">
      <c r="A151" s="9">
        <v>150</v>
      </c>
      <c r="B151" s="9" t="s">
        <v>168</v>
      </c>
      <c r="C151" s="9" t="s">
        <v>23</v>
      </c>
      <c r="D151" s="10">
        <v>304.52999999999997</v>
      </c>
      <c r="E151" s="10">
        <v>304.52999999999997</v>
      </c>
      <c r="F151" s="10">
        <v>0.65</v>
      </c>
      <c r="G151" s="9">
        <f t="shared" si="7"/>
        <v>47.508170000000007</v>
      </c>
      <c r="H151" s="13" t="s">
        <v>119</v>
      </c>
      <c r="I151" s="12"/>
      <c r="K151">
        <f t="shared" si="8"/>
        <v>304.52999999999997</v>
      </c>
      <c r="L151" s="1"/>
      <c r="M151" s="1"/>
      <c r="N151" s="1"/>
      <c r="T151" s="1"/>
      <c r="U151" s="1"/>
      <c r="V151" s="1"/>
      <c r="W151" s="1"/>
      <c r="X151" s="1"/>
      <c r="Y151" s="1"/>
      <c r="Z151" s="1"/>
      <c r="AA151" s="1"/>
    </row>
    <row r="152" spans="1:27" ht="14" x14ac:dyDescent="0.15">
      <c r="A152" s="9">
        <v>151</v>
      </c>
      <c r="B152" s="9" t="s">
        <v>169</v>
      </c>
      <c r="C152" s="9" t="s">
        <v>23</v>
      </c>
      <c r="D152" s="10">
        <v>342.88</v>
      </c>
      <c r="E152" s="10">
        <v>342.88</v>
      </c>
      <c r="F152" s="10">
        <v>0.63</v>
      </c>
      <c r="G152" s="9">
        <f t="shared" si="7"/>
        <v>47.851050000000008</v>
      </c>
      <c r="H152" s="13" t="s">
        <v>119</v>
      </c>
      <c r="I152" s="12"/>
      <c r="K152">
        <f t="shared" si="8"/>
        <v>342.88</v>
      </c>
      <c r="L152" s="1"/>
      <c r="M152" s="1"/>
      <c r="N152" s="1"/>
      <c r="T152" s="1"/>
      <c r="U152" s="1"/>
      <c r="V152" s="1"/>
      <c r="W152" s="1"/>
      <c r="X152" s="1"/>
      <c r="Y152" s="1"/>
      <c r="Z152" s="1"/>
      <c r="AA152" s="1"/>
    </row>
    <row r="153" spans="1:27" ht="14" x14ac:dyDescent="0.15">
      <c r="A153" s="9">
        <v>152</v>
      </c>
      <c r="B153" s="9" t="s">
        <v>170</v>
      </c>
      <c r="C153" s="9" t="s">
        <v>23</v>
      </c>
      <c r="D153" s="10">
        <v>332.62</v>
      </c>
      <c r="E153" s="10">
        <v>332.62</v>
      </c>
      <c r="F153" s="10">
        <v>0.01</v>
      </c>
      <c r="G153" s="9">
        <f t="shared" si="7"/>
        <v>48.183670000000006</v>
      </c>
      <c r="H153" s="13" t="s">
        <v>119</v>
      </c>
      <c r="I153" s="12"/>
      <c r="K153">
        <f t="shared" si="8"/>
        <v>332.62</v>
      </c>
      <c r="L153" s="1"/>
      <c r="M153" s="1"/>
      <c r="N153" s="1"/>
      <c r="T153" s="1"/>
      <c r="U153" s="1"/>
      <c r="V153" s="1"/>
      <c r="W153" s="1"/>
      <c r="X153" s="1"/>
      <c r="Y153" s="1"/>
      <c r="Z153" s="1"/>
      <c r="AA153" s="1"/>
    </row>
    <row r="154" spans="1:27" ht="14" x14ac:dyDescent="0.15">
      <c r="A154" s="9">
        <v>153</v>
      </c>
      <c r="B154" s="9" t="s">
        <v>171</v>
      </c>
      <c r="C154" s="9" t="s">
        <v>23</v>
      </c>
      <c r="D154" s="10">
        <v>319.73</v>
      </c>
      <c r="E154" s="10">
        <v>319.73</v>
      </c>
      <c r="F154" s="10">
        <v>0.93</v>
      </c>
      <c r="G154" s="9">
        <f t="shared" si="7"/>
        <v>48.503400000000006</v>
      </c>
      <c r="H154" s="13" t="s">
        <v>119</v>
      </c>
      <c r="I154" s="12"/>
      <c r="K154">
        <f t="shared" si="8"/>
        <v>319.73</v>
      </c>
      <c r="L154" s="1"/>
      <c r="M154" s="1"/>
      <c r="N154" s="1"/>
      <c r="T154" s="1"/>
      <c r="U154" s="1"/>
      <c r="V154" s="1"/>
      <c r="W154" s="1"/>
      <c r="X154" s="1"/>
      <c r="Y154" s="1"/>
      <c r="Z154" s="1"/>
      <c r="AA154" s="1"/>
    </row>
    <row r="155" spans="1:27" ht="14" x14ac:dyDescent="0.15">
      <c r="A155" s="9">
        <v>154</v>
      </c>
      <c r="B155" s="9" t="s">
        <v>172</v>
      </c>
      <c r="C155" s="9" t="s">
        <v>23</v>
      </c>
      <c r="D155" s="10">
        <v>247.54</v>
      </c>
      <c r="E155" s="10">
        <v>247.54</v>
      </c>
      <c r="F155" s="10">
        <v>1.18</v>
      </c>
      <c r="G155" s="9">
        <f t="shared" si="7"/>
        <v>48.750940000000007</v>
      </c>
      <c r="H155" s="13" t="s">
        <v>119</v>
      </c>
      <c r="I155" s="12"/>
      <c r="K155">
        <f t="shared" si="8"/>
        <v>247.54</v>
      </c>
      <c r="L155" s="1"/>
      <c r="M155" s="1"/>
      <c r="N155" s="1"/>
      <c r="T155" s="1"/>
      <c r="U155" s="1"/>
      <c r="V155" s="1"/>
      <c r="W155" s="1"/>
      <c r="X155" s="1"/>
      <c r="Y155" s="1"/>
      <c r="Z155" s="1"/>
      <c r="AA155" s="1"/>
    </row>
    <row r="156" spans="1:27" ht="14" x14ac:dyDescent="0.15">
      <c r="A156" s="9">
        <v>155</v>
      </c>
      <c r="B156" s="9" t="s">
        <v>173</v>
      </c>
      <c r="C156" s="9" t="s">
        <v>16</v>
      </c>
      <c r="D156" s="10">
        <v>348.75</v>
      </c>
      <c r="E156" s="10">
        <v>348.75</v>
      </c>
      <c r="F156" s="10">
        <v>9.52</v>
      </c>
      <c r="G156" s="9">
        <f t="shared" si="7"/>
        <v>49.09969000000001</v>
      </c>
      <c r="H156" s="13" t="s">
        <v>119</v>
      </c>
      <c r="I156" s="12"/>
      <c r="K156">
        <f t="shared" si="8"/>
        <v>348.75</v>
      </c>
      <c r="L156" s="1"/>
      <c r="M156" s="1"/>
      <c r="N156" s="1"/>
      <c r="T156" s="1"/>
      <c r="U156" s="1"/>
      <c r="V156" s="1"/>
      <c r="W156" s="1"/>
      <c r="X156" s="1"/>
      <c r="Y156" s="1"/>
      <c r="Z156" s="1"/>
      <c r="AA156" s="1"/>
    </row>
    <row r="157" spans="1:27" ht="14" x14ac:dyDescent="0.15">
      <c r="A157" s="9">
        <v>156</v>
      </c>
      <c r="B157" s="9" t="s">
        <v>174</v>
      </c>
      <c r="C157" s="9" t="s">
        <v>23</v>
      </c>
      <c r="D157" s="10">
        <v>346.14</v>
      </c>
      <c r="E157" s="10">
        <v>346.14</v>
      </c>
      <c r="F157" s="10">
        <v>0.9</v>
      </c>
      <c r="G157" s="9">
        <f t="shared" si="7"/>
        <v>49.445830000000008</v>
      </c>
      <c r="H157" s="13" t="s">
        <v>119</v>
      </c>
      <c r="I157" s="12"/>
      <c r="K157">
        <f t="shared" si="8"/>
        <v>346.14</v>
      </c>
      <c r="L157" s="1"/>
      <c r="M157" s="1"/>
      <c r="N157" s="1"/>
      <c r="T157" s="1"/>
      <c r="U157" s="1"/>
      <c r="V157" s="1"/>
      <c r="W157" s="1"/>
      <c r="X157" s="1"/>
      <c r="Y157" s="1"/>
      <c r="Z157" s="1"/>
      <c r="AA157" s="1"/>
    </row>
    <row r="158" spans="1:27" ht="14" x14ac:dyDescent="0.15">
      <c r="A158" s="9">
        <v>157</v>
      </c>
      <c r="B158" s="9" t="s">
        <v>175</v>
      </c>
      <c r="C158" s="9" t="s">
        <v>23</v>
      </c>
      <c r="D158" s="10">
        <v>326.99</v>
      </c>
      <c r="E158" s="10">
        <v>326.99</v>
      </c>
      <c r="F158" s="10">
        <v>1.19</v>
      </c>
      <c r="G158" s="9">
        <f t="shared" si="7"/>
        <v>49.77282000000001</v>
      </c>
      <c r="H158" s="13" t="s">
        <v>119</v>
      </c>
      <c r="I158" s="12"/>
      <c r="K158">
        <f t="shared" si="8"/>
        <v>326.99</v>
      </c>
      <c r="L158" s="1"/>
      <c r="M158" s="1"/>
      <c r="N158" s="1"/>
      <c r="T158" s="1"/>
      <c r="U158" s="1"/>
      <c r="V158" s="1"/>
      <c r="W158" s="1"/>
      <c r="X158" s="1"/>
      <c r="Y158" s="1"/>
      <c r="Z158" s="1"/>
      <c r="AA158" s="1"/>
    </row>
    <row r="159" spans="1:27" ht="14" x14ac:dyDescent="0.15">
      <c r="A159" s="9">
        <v>158</v>
      </c>
      <c r="B159" s="9" t="s">
        <v>176</v>
      </c>
      <c r="C159" s="9" t="s">
        <v>23</v>
      </c>
      <c r="D159" s="10">
        <v>327.27999999999997</v>
      </c>
      <c r="E159" s="10">
        <v>327.27999999999997</v>
      </c>
      <c r="F159" s="10">
        <v>0.8</v>
      </c>
      <c r="G159" s="9">
        <f t="shared" si="7"/>
        <v>50.100100000000012</v>
      </c>
      <c r="H159" s="13" t="s">
        <v>119</v>
      </c>
      <c r="I159" s="12"/>
      <c r="K159">
        <f t="shared" si="8"/>
        <v>327.27999999999997</v>
      </c>
      <c r="L159" s="1"/>
      <c r="M159" s="1"/>
      <c r="N159" s="1"/>
      <c r="T159" s="1"/>
      <c r="U159" s="1"/>
      <c r="V159" s="1"/>
      <c r="W159" s="1"/>
      <c r="X159" s="1"/>
      <c r="Y159" s="1"/>
      <c r="Z159" s="1"/>
      <c r="AA159" s="1"/>
    </row>
    <row r="160" spans="1:27" ht="14" x14ac:dyDescent="0.15">
      <c r="A160" s="9">
        <v>159</v>
      </c>
      <c r="B160" s="9" t="s">
        <v>177</v>
      </c>
      <c r="C160" s="9" t="s">
        <v>23</v>
      </c>
      <c r="D160" s="10">
        <v>344.5</v>
      </c>
      <c r="E160" s="10">
        <v>344.5</v>
      </c>
      <c r="F160" s="10">
        <v>0.09</v>
      </c>
      <c r="G160" s="9">
        <f t="shared" si="7"/>
        <v>50.444600000000008</v>
      </c>
      <c r="H160" s="13" t="s">
        <v>119</v>
      </c>
      <c r="I160" s="12"/>
      <c r="K160">
        <f t="shared" si="8"/>
        <v>344.5</v>
      </c>
      <c r="L160" s="1"/>
      <c r="M160" s="1"/>
      <c r="N160" s="1"/>
      <c r="T160" s="1"/>
      <c r="U160" s="1"/>
      <c r="V160" s="1"/>
      <c r="W160" s="1"/>
      <c r="X160" s="1"/>
      <c r="Y160" s="1"/>
      <c r="Z160" s="1"/>
      <c r="AA160" s="1"/>
    </row>
    <row r="161" spans="1:27" ht="14" x14ac:dyDescent="0.15">
      <c r="A161" s="9">
        <v>160</v>
      </c>
      <c r="B161" s="9" t="s">
        <v>178</v>
      </c>
      <c r="C161" s="9" t="s">
        <v>23</v>
      </c>
      <c r="D161" s="10">
        <v>299.64999999999998</v>
      </c>
      <c r="E161" s="10">
        <v>299.64999999999998</v>
      </c>
      <c r="F161" s="10">
        <v>0.03</v>
      </c>
      <c r="G161" s="9">
        <f t="shared" si="7"/>
        <v>50.744250000000008</v>
      </c>
      <c r="H161" s="13" t="s">
        <v>119</v>
      </c>
      <c r="I161" s="12"/>
      <c r="K161">
        <f t="shared" si="8"/>
        <v>299.64999999999998</v>
      </c>
      <c r="L161" s="1"/>
      <c r="M161" s="1"/>
      <c r="N161" s="1"/>
      <c r="T161" s="1"/>
      <c r="U161" s="1"/>
      <c r="V161" s="1"/>
      <c r="W161" s="1"/>
      <c r="X161" s="1"/>
      <c r="Y161" s="1"/>
      <c r="Z161" s="1"/>
      <c r="AA161" s="1"/>
    </row>
    <row r="162" spans="1:27" ht="14" x14ac:dyDescent="0.15">
      <c r="A162" s="9">
        <v>161</v>
      </c>
      <c r="B162" s="9" t="s">
        <v>179</v>
      </c>
      <c r="C162" s="9" t="s">
        <v>23</v>
      </c>
      <c r="D162" s="10">
        <v>181.75</v>
      </c>
      <c r="E162" s="10">
        <v>181.75</v>
      </c>
      <c r="F162" s="10">
        <v>14.98</v>
      </c>
      <c r="G162" s="9">
        <f t="shared" si="7"/>
        <v>50.926000000000009</v>
      </c>
      <c r="H162" s="13" t="s">
        <v>119</v>
      </c>
      <c r="I162" s="12"/>
      <c r="K162">
        <f t="shared" si="8"/>
        <v>181.75</v>
      </c>
      <c r="L162" s="1"/>
      <c r="M162" s="1"/>
      <c r="N162" s="1"/>
      <c r="T162" s="1"/>
      <c r="U162" s="1"/>
      <c r="V162" s="1"/>
      <c r="W162" s="1"/>
      <c r="X162" s="1"/>
      <c r="Y162" s="1"/>
      <c r="Z162" s="1"/>
      <c r="AA162" s="1"/>
    </row>
    <row r="163" spans="1:27" ht="14" x14ac:dyDescent="0.15">
      <c r="A163" s="9">
        <v>162</v>
      </c>
      <c r="B163" s="9" t="s">
        <v>180</v>
      </c>
      <c r="C163" s="9" t="s">
        <v>19</v>
      </c>
      <c r="D163" s="10">
        <v>172.43</v>
      </c>
      <c r="E163" s="10">
        <v>180.93</v>
      </c>
      <c r="F163" s="10">
        <v>32.869999999999997</v>
      </c>
      <c r="G163" s="9">
        <f t="shared" si="7"/>
        <v>51.106930000000006</v>
      </c>
      <c r="H163" s="13" t="s">
        <v>119</v>
      </c>
      <c r="I163" s="12"/>
      <c r="J163" s="7">
        <f t="shared" ref="J163:J164" si="9">D163+8.5</f>
        <v>180.93</v>
      </c>
      <c r="K163">
        <f t="shared" si="8"/>
        <v>180.93</v>
      </c>
      <c r="L163" s="1"/>
      <c r="M163" s="1"/>
      <c r="N163" s="1"/>
      <c r="T163" s="1"/>
      <c r="U163" s="1"/>
      <c r="V163" s="1"/>
      <c r="W163" s="1"/>
      <c r="X163" s="1"/>
      <c r="Y163" s="1"/>
      <c r="Z163" s="1"/>
      <c r="AA163" s="1"/>
    </row>
    <row r="164" spans="1:27" ht="14" x14ac:dyDescent="0.15">
      <c r="A164" s="9">
        <v>163</v>
      </c>
      <c r="B164" s="9" t="s">
        <v>181</v>
      </c>
      <c r="C164" s="9" t="s">
        <v>19</v>
      </c>
      <c r="D164" s="10">
        <v>222.43</v>
      </c>
      <c r="E164" s="10">
        <v>230.93</v>
      </c>
      <c r="F164" s="10">
        <v>57.26</v>
      </c>
      <c r="G164" s="9">
        <f t="shared" si="7"/>
        <v>51.337860000000006</v>
      </c>
      <c r="H164" s="13" t="s">
        <v>119</v>
      </c>
      <c r="I164" s="12"/>
      <c r="J164" s="7">
        <f t="shared" si="9"/>
        <v>230.93</v>
      </c>
      <c r="K164">
        <f t="shared" si="8"/>
        <v>230.93</v>
      </c>
      <c r="L164" s="1"/>
      <c r="M164" s="1"/>
      <c r="N164" s="1"/>
      <c r="T164" s="1"/>
      <c r="U164" s="1"/>
      <c r="V164" s="1"/>
      <c r="W164" s="1"/>
      <c r="X164" s="1"/>
      <c r="Y164" s="1"/>
      <c r="Z164" s="1"/>
      <c r="AA164" s="1"/>
    </row>
    <row r="165" spans="1:27" ht="14" x14ac:dyDescent="0.15">
      <c r="A165" s="9">
        <v>164</v>
      </c>
      <c r="B165" s="9" t="s">
        <v>182</v>
      </c>
      <c r="C165" s="9" t="s">
        <v>23</v>
      </c>
      <c r="D165" s="10">
        <v>347.93</v>
      </c>
      <c r="E165" s="10">
        <v>347.93</v>
      </c>
      <c r="F165" s="10">
        <v>0.45</v>
      </c>
      <c r="G165" s="9">
        <f t="shared" si="7"/>
        <v>51.685790000000004</v>
      </c>
      <c r="H165" s="13" t="s">
        <v>119</v>
      </c>
      <c r="I165" s="12"/>
      <c r="K165">
        <f t="shared" si="8"/>
        <v>347.93</v>
      </c>
      <c r="L165" s="1"/>
      <c r="M165" s="1"/>
      <c r="N165" s="1"/>
      <c r="T165" s="1"/>
      <c r="U165" s="1"/>
      <c r="V165" s="1"/>
      <c r="W165" s="1"/>
      <c r="X165" s="1"/>
      <c r="Y165" s="1"/>
      <c r="Z165" s="1"/>
      <c r="AA165" s="1"/>
    </row>
    <row r="166" spans="1:27" ht="14" x14ac:dyDescent="0.15">
      <c r="A166" s="9">
        <v>165</v>
      </c>
      <c r="B166" s="9" t="s">
        <v>183</v>
      </c>
      <c r="C166" s="9" t="s">
        <v>23</v>
      </c>
      <c r="D166" s="10">
        <v>299.82</v>
      </c>
      <c r="E166" s="10">
        <v>299.82</v>
      </c>
      <c r="F166" s="10">
        <v>0.21</v>
      </c>
      <c r="G166" s="9">
        <f t="shared" si="7"/>
        <v>51.985610000000001</v>
      </c>
      <c r="H166" s="13" t="s">
        <v>119</v>
      </c>
      <c r="I166" s="12"/>
      <c r="K166">
        <f t="shared" si="8"/>
        <v>299.82</v>
      </c>
      <c r="L166" s="1"/>
      <c r="M166" s="1"/>
      <c r="N166" s="1"/>
      <c r="T166" s="1"/>
      <c r="U166" s="1"/>
      <c r="V166" s="1"/>
      <c r="W166" s="1"/>
      <c r="X166" s="1"/>
      <c r="Y166" s="1"/>
      <c r="Z166" s="1"/>
      <c r="AA166" s="1"/>
    </row>
    <row r="167" spans="1:27" ht="14" x14ac:dyDescent="0.15">
      <c r="A167" s="9">
        <v>166</v>
      </c>
      <c r="B167" s="9" t="s">
        <v>184</v>
      </c>
      <c r="C167" s="9" t="s">
        <v>23</v>
      </c>
      <c r="D167" s="10">
        <v>314.89</v>
      </c>
      <c r="E167" s="10">
        <v>314.89</v>
      </c>
      <c r="F167" s="10">
        <v>0.53</v>
      </c>
      <c r="G167" s="9">
        <f t="shared" si="7"/>
        <v>52.3005</v>
      </c>
      <c r="H167" s="13" t="s">
        <v>119</v>
      </c>
      <c r="I167" s="12"/>
      <c r="K167">
        <f t="shared" si="8"/>
        <v>314.89</v>
      </c>
      <c r="L167" s="1"/>
      <c r="M167" s="1"/>
      <c r="N167" s="1"/>
      <c r="T167" s="1"/>
      <c r="U167" s="1"/>
      <c r="V167" s="1"/>
      <c r="W167" s="1"/>
      <c r="X167" s="1"/>
      <c r="Y167" s="1"/>
      <c r="Z167" s="1"/>
      <c r="AA167" s="1"/>
    </row>
    <row r="168" spans="1:27" ht="14" x14ac:dyDescent="0.15">
      <c r="A168" s="9">
        <v>167</v>
      </c>
      <c r="B168" s="9" t="s">
        <v>185</v>
      </c>
      <c r="C168" s="9" t="s">
        <v>19</v>
      </c>
      <c r="D168" s="10">
        <v>342.9</v>
      </c>
      <c r="E168" s="10">
        <v>351.4</v>
      </c>
      <c r="F168" s="10">
        <v>34.15</v>
      </c>
      <c r="G168" s="9">
        <f t="shared" si="7"/>
        <v>52.651899999999998</v>
      </c>
      <c r="H168" s="13" t="s">
        <v>119</v>
      </c>
      <c r="I168" s="12"/>
      <c r="J168" s="7">
        <f>D168+8.5</f>
        <v>351.4</v>
      </c>
      <c r="K168">
        <f t="shared" si="8"/>
        <v>351.4</v>
      </c>
      <c r="L168" s="1"/>
      <c r="M168" s="1"/>
      <c r="N168" s="1"/>
      <c r="T168" s="1"/>
      <c r="U168" s="1"/>
      <c r="V168" s="1"/>
      <c r="W168" s="1"/>
      <c r="X168" s="1"/>
      <c r="Y168" s="1"/>
      <c r="Z168" s="1"/>
      <c r="AA168" s="1"/>
    </row>
    <row r="169" spans="1:27" ht="14" x14ac:dyDescent="0.15">
      <c r="A169" s="9">
        <v>168</v>
      </c>
      <c r="B169" s="9" t="s">
        <v>186</v>
      </c>
      <c r="C169" s="9" t="s">
        <v>23</v>
      </c>
      <c r="D169" s="10">
        <v>350.39</v>
      </c>
      <c r="E169" s="10">
        <v>350.39</v>
      </c>
      <c r="F169" s="10">
        <v>0.15</v>
      </c>
      <c r="G169" s="9">
        <f t="shared" si="7"/>
        <v>53.002289999999995</v>
      </c>
      <c r="H169" s="13" t="s">
        <v>119</v>
      </c>
      <c r="I169" s="12"/>
      <c r="K169">
        <f t="shared" si="8"/>
        <v>350.39</v>
      </c>
      <c r="L169" s="1"/>
      <c r="M169" s="1"/>
      <c r="N169" s="1"/>
      <c r="T169" s="1"/>
      <c r="U169" s="1"/>
      <c r="V169" s="1"/>
      <c r="W169" s="1"/>
      <c r="X169" s="1"/>
      <c r="Y169" s="1"/>
      <c r="Z169" s="1"/>
      <c r="AA169" s="1"/>
    </row>
    <row r="170" spans="1:27" ht="14" x14ac:dyDescent="0.15">
      <c r="A170" s="9">
        <v>169</v>
      </c>
      <c r="B170" s="9" t="s">
        <v>187</v>
      </c>
      <c r="C170" s="9" t="s">
        <v>23</v>
      </c>
      <c r="D170" s="10">
        <v>304.58999999999997</v>
      </c>
      <c r="E170" s="10">
        <v>304.58999999999997</v>
      </c>
      <c r="F170" s="10">
        <v>0.33</v>
      </c>
      <c r="G170" s="9">
        <f t="shared" si="7"/>
        <v>53.306879999999992</v>
      </c>
      <c r="H170" s="13" t="s">
        <v>119</v>
      </c>
      <c r="I170" s="12"/>
      <c r="K170">
        <f t="shared" si="8"/>
        <v>304.58999999999997</v>
      </c>
      <c r="L170" s="1"/>
      <c r="M170" s="1"/>
      <c r="N170" s="1"/>
      <c r="T170" s="1"/>
      <c r="U170" s="1"/>
      <c r="V170" s="1"/>
      <c r="W170" s="1"/>
      <c r="X170" s="1"/>
      <c r="Y170" s="1"/>
      <c r="Z170" s="1"/>
      <c r="AA170" s="1"/>
    </row>
    <row r="171" spans="1:27" ht="14" x14ac:dyDescent="0.15">
      <c r="A171" s="9">
        <v>170</v>
      </c>
      <c r="B171" s="9" t="s">
        <v>188</v>
      </c>
      <c r="C171" s="9" t="s">
        <v>23</v>
      </c>
      <c r="D171" s="10">
        <v>350.39</v>
      </c>
      <c r="E171" s="10">
        <v>350.39</v>
      </c>
      <c r="F171" s="10">
        <v>0.33</v>
      </c>
      <c r="G171" s="9">
        <f t="shared" si="7"/>
        <v>53.65726999999999</v>
      </c>
      <c r="H171" s="13" t="s">
        <v>119</v>
      </c>
      <c r="I171" s="12"/>
      <c r="K171">
        <f t="shared" si="8"/>
        <v>350.39</v>
      </c>
      <c r="L171" s="1"/>
      <c r="M171" s="1"/>
      <c r="N171" s="1"/>
      <c r="T171" s="1"/>
      <c r="U171" s="1"/>
      <c r="V171" s="1"/>
      <c r="W171" s="1"/>
      <c r="X171" s="1"/>
      <c r="Y171" s="1"/>
      <c r="Z171" s="1"/>
      <c r="AA171" s="1"/>
    </row>
    <row r="172" spans="1:27" ht="14" x14ac:dyDescent="0.15">
      <c r="A172" s="9">
        <v>171</v>
      </c>
      <c r="B172" s="9" t="s">
        <v>189</v>
      </c>
      <c r="C172" s="9" t="s">
        <v>23</v>
      </c>
      <c r="D172" s="10">
        <v>340.69</v>
      </c>
      <c r="E172" s="10">
        <v>340.69</v>
      </c>
      <c r="F172" s="10">
        <v>0.33</v>
      </c>
      <c r="G172" s="9">
        <f t="shared" si="7"/>
        <v>53.997959999999992</v>
      </c>
      <c r="H172" s="13" t="s">
        <v>119</v>
      </c>
      <c r="I172" s="12"/>
      <c r="K172">
        <f t="shared" si="8"/>
        <v>340.69</v>
      </c>
      <c r="L172" s="1"/>
      <c r="M172" s="1"/>
      <c r="N172" s="1"/>
      <c r="T172" s="1"/>
      <c r="U172" s="1"/>
      <c r="V172" s="1"/>
      <c r="W172" s="1"/>
      <c r="X172" s="1"/>
      <c r="Y172" s="1"/>
      <c r="Z172" s="1"/>
      <c r="AA172" s="1"/>
    </row>
    <row r="173" spans="1:27" ht="14" x14ac:dyDescent="0.15">
      <c r="A173" s="9">
        <v>172</v>
      </c>
      <c r="B173" s="9" t="s">
        <v>190</v>
      </c>
      <c r="C173" s="9" t="s">
        <v>19</v>
      </c>
      <c r="D173" s="10">
        <v>315.70999999999998</v>
      </c>
      <c r="E173" s="10">
        <v>324.20999999999998</v>
      </c>
      <c r="F173" s="10">
        <v>50.2</v>
      </c>
      <c r="G173" s="9">
        <f t="shared" si="7"/>
        <v>54.322169999999993</v>
      </c>
      <c r="H173" s="13" t="s">
        <v>119</v>
      </c>
      <c r="I173" s="12"/>
      <c r="J173" s="7">
        <f>D173+8.5</f>
        <v>324.20999999999998</v>
      </c>
      <c r="K173">
        <f t="shared" si="8"/>
        <v>324.20999999999998</v>
      </c>
      <c r="L173" s="1"/>
      <c r="M173" s="1"/>
      <c r="N173" s="1"/>
      <c r="T173" s="1"/>
      <c r="U173" s="1"/>
      <c r="V173" s="1"/>
      <c r="W173" s="1"/>
      <c r="X173" s="1"/>
      <c r="Y173" s="1"/>
      <c r="Z173" s="1"/>
      <c r="AA173" s="1"/>
    </row>
    <row r="174" spans="1:27" ht="14" x14ac:dyDescent="0.15">
      <c r="A174" s="9">
        <v>173</v>
      </c>
      <c r="B174" s="9" t="s">
        <v>191</v>
      </c>
      <c r="C174" s="9" t="s">
        <v>23</v>
      </c>
      <c r="D174" s="10">
        <v>346.19</v>
      </c>
      <c r="E174" s="10">
        <v>346.19</v>
      </c>
      <c r="F174" s="10">
        <v>0.42</v>
      </c>
      <c r="G174" s="9">
        <f t="shared" si="7"/>
        <v>54.668359999999993</v>
      </c>
      <c r="H174" s="13" t="s">
        <v>119</v>
      </c>
      <c r="I174" s="12"/>
      <c r="K174">
        <f t="shared" si="8"/>
        <v>346.19</v>
      </c>
      <c r="L174" s="1"/>
      <c r="M174" s="1"/>
      <c r="N174" s="1"/>
      <c r="T174" s="1"/>
      <c r="U174" s="1"/>
      <c r="V174" s="1"/>
      <c r="W174" s="1"/>
      <c r="X174" s="1"/>
      <c r="Y174" s="1"/>
      <c r="Z174" s="1"/>
      <c r="AA174" s="1"/>
    </row>
    <row r="175" spans="1:27" ht="14" x14ac:dyDescent="0.15">
      <c r="A175" s="9">
        <v>174</v>
      </c>
      <c r="B175" s="9" t="s">
        <v>192</v>
      </c>
      <c r="C175" s="9" t="s">
        <v>23</v>
      </c>
      <c r="D175" s="10">
        <v>360.43</v>
      </c>
      <c r="E175" s="10">
        <v>360.43</v>
      </c>
      <c r="F175" s="10">
        <v>0.23</v>
      </c>
      <c r="G175" s="9">
        <f t="shared" si="7"/>
        <v>55.028789999999994</v>
      </c>
      <c r="H175" s="13" t="s">
        <v>119</v>
      </c>
      <c r="I175" s="12"/>
      <c r="K175">
        <f t="shared" si="8"/>
        <v>360.43</v>
      </c>
      <c r="L175" s="1"/>
      <c r="M175" s="1"/>
      <c r="N175" s="1"/>
      <c r="T175" s="1"/>
      <c r="U175" s="1"/>
      <c r="V175" s="1"/>
      <c r="W175" s="1"/>
      <c r="X175" s="1"/>
      <c r="Y175" s="1"/>
      <c r="Z175" s="1"/>
      <c r="AA175" s="1"/>
    </row>
    <row r="176" spans="1:27" ht="14" x14ac:dyDescent="0.15">
      <c r="A176" s="9">
        <v>175</v>
      </c>
      <c r="B176" s="9" t="s">
        <v>193</v>
      </c>
      <c r="C176" s="9" t="s">
        <v>23</v>
      </c>
      <c r="D176" s="10">
        <v>355.41</v>
      </c>
      <c r="E176" s="10">
        <v>355.41</v>
      </c>
      <c r="F176" s="10">
        <v>0.14000000000000001</v>
      </c>
      <c r="G176" s="9">
        <f t="shared" si="7"/>
        <v>55.384199999999993</v>
      </c>
      <c r="H176" s="13" t="s">
        <v>119</v>
      </c>
      <c r="I176" s="12"/>
      <c r="K176">
        <f t="shared" si="8"/>
        <v>355.41</v>
      </c>
      <c r="L176" s="1"/>
      <c r="M176" s="1"/>
      <c r="N176" s="1"/>
      <c r="T176" s="1"/>
      <c r="U176" s="1"/>
      <c r="V176" s="1"/>
      <c r="W176" s="1"/>
      <c r="X176" s="1"/>
      <c r="Y176" s="1"/>
      <c r="Z176" s="1"/>
      <c r="AA176" s="1"/>
    </row>
    <row r="177" spans="1:27" ht="14" x14ac:dyDescent="0.15">
      <c r="A177" s="9">
        <v>176</v>
      </c>
      <c r="B177" s="9" t="s">
        <v>194</v>
      </c>
      <c r="C177" s="9" t="s">
        <v>23</v>
      </c>
      <c r="D177" s="10">
        <v>348.19</v>
      </c>
      <c r="E177" s="10">
        <v>348.19</v>
      </c>
      <c r="F177" s="10">
        <v>0.03</v>
      </c>
      <c r="G177" s="9">
        <f t="shared" si="7"/>
        <v>55.732389999999995</v>
      </c>
      <c r="H177" s="13" t="s">
        <v>119</v>
      </c>
      <c r="I177" s="12"/>
      <c r="K177">
        <f t="shared" si="8"/>
        <v>348.19</v>
      </c>
      <c r="L177" s="1"/>
      <c r="M177" s="1"/>
      <c r="N177" s="1"/>
      <c r="T177" s="1"/>
      <c r="U177" s="1"/>
      <c r="V177" s="1"/>
      <c r="W177" s="1"/>
      <c r="X177" s="1"/>
      <c r="Y177" s="1"/>
      <c r="Z177" s="1"/>
      <c r="AA177" s="1"/>
    </row>
    <row r="178" spans="1:27" ht="14" x14ac:dyDescent="0.15">
      <c r="A178" s="9">
        <v>177</v>
      </c>
      <c r="B178" s="9" t="s">
        <v>195</v>
      </c>
      <c r="C178" s="9" t="s">
        <v>23</v>
      </c>
      <c r="D178" s="10">
        <v>342.17</v>
      </c>
      <c r="E178" s="10">
        <v>342.17</v>
      </c>
      <c r="F178" s="10">
        <v>0.18</v>
      </c>
      <c r="G178" s="9">
        <f t="shared" si="7"/>
        <v>56.074559999999998</v>
      </c>
      <c r="H178" s="13" t="s">
        <v>119</v>
      </c>
      <c r="I178" s="12"/>
      <c r="K178">
        <f t="shared" si="8"/>
        <v>342.17</v>
      </c>
      <c r="L178" s="1"/>
      <c r="M178" s="1"/>
      <c r="N178" s="1"/>
      <c r="T178" s="1"/>
      <c r="U178" s="1"/>
      <c r="V178" s="1"/>
      <c r="W178" s="1"/>
      <c r="X178" s="1"/>
      <c r="Y178" s="1"/>
      <c r="Z178" s="1"/>
      <c r="AA178" s="1"/>
    </row>
    <row r="179" spans="1:27" ht="14" x14ac:dyDescent="0.15">
      <c r="A179" s="9">
        <v>178</v>
      </c>
      <c r="B179" s="9" t="s">
        <v>196</v>
      </c>
      <c r="C179" s="9" t="s">
        <v>28</v>
      </c>
      <c r="D179" s="10">
        <v>368.88</v>
      </c>
      <c r="E179" s="10">
        <v>377.38</v>
      </c>
      <c r="F179" s="10">
        <v>21.76</v>
      </c>
      <c r="G179" s="9">
        <f t="shared" si="7"/>
        <v>56.45194</v>
      </c>
      <c r="H179" s="13" t="s">
        <v>119</v>
      </c>
      <c r="I179" s="12"/>
      <c r="J179" s="7">
        <f>D179+8.5</f>
        <v>377.38</v>
      </c>
      <c r="K179">
        <f t="shared" si="8"/>
        <v>377.38</v>
      </c>
      <c r="L179" s="1"/>
      <c r="M179" s="1"/>
      <c r="N179" s="1"/>
      <c r="T179" s="1"/>
      <c r="U179" s="1"/>
      <c r="V179" s="1"/>
      <c r="W179" s="1"/>
      <c r="X179" s="1"/>
      <c r="Y179" s="1"/>
      <c r="Z179" s="1"/>
      <c r="AA179" s="1"/>
    </row>
    <row r="180" spans="1:27" ht="14" x14ac:dyDescent="0.15">
      <c r="A180" s="9">
        <v>179</v>
      </c>
      <c r="B180" s="9" t="s">
        <v>197</v>
      </c>
      <c r="C180" s="9" t="s">
        <v>23</v>
      </c>
      <c r="D180" s="10">
        <v>266.51</v>
      </c>
      <c r="E180" s="10">
        <v>266.51</v>
      </c>
      <c r="F180" s="10">
        <v>0.03</v>
      </c>
      <c r="G180" s="9">
        <f t="shared" si="7"/>
        <v>56.718449999999997</v>
      </c>
      <c r="H180" s="13" t="s">
        <v>119</v>
      </c>
      <c r="I180" s="12"/>
      <c r="K180">
        <f t="shared" si="8"/>
        <v>266.51</v>
      </c>
      <c r="L180" s="1"/>
      <c r="M180" s="1"/>
      <c r="N180" s="1"/>
      <c r="T180" s="1"/>
      <c r="U180" s="1"/>
      <c r="V180" s="1"/>
      <c r="W180" s="1"/>
      <c r="X180" s="1"/>
      <c r="Y180" s="1"/>
      <c r="Z180" s="1"/>
      <c r="AA180" s="1"/>
    </row>
    <row r="181" spans="1:27" ht="14" x14ac:dyDescent="0.15">
      <c r="A181" s="9">
        <v>180</v>
      </c>
      <c r="B181" s="9" t="s">
        <v>198</v>
      </c>
      <c r="C181" s="9" t="s">
        <v>19</v>
      </c>
      <c r="D181" s="10">
        <v>344.9</v>
      </c>
      <c r="E181" s="10">
        <v>353.4</v>
      </c>
      <c r="F181" s="10">
        <v>37.270000000000003</v>
      </c>
      <c r="G181" s="9">
        <f t="shared" si="7"/>
        <v>57.071849999999998</v>
      </c>
      <c r="H181" s="13" t="s">
        <v>119</v>
      </c>
      <c r="I181" s="12"/>
      <c r="J181" s="7">
        <f>D181+8.5</f>
        <v>353.4</v>
      </c>
      <c r="K181">
        <f t="shared" si="8"/>
        <v>353.4</v>
      </c>
      <c r="L181" s="1"/>
      <c r="M181" s="1"/>
      <c r="N181" s="1"/>
      <c r="T181" s="1"/>
      <c r="U181" s="1"/>
      <c r="V181" s="1"/>
      <c r="W181" s="1"/>
      <c r="X181" s="1"/>
      <c r="Y181" s="1"/>
      <c r="Z181" s="1"/>
      <c r="AA181" s="1"/>
    </row>
    <row r="182" spans="1:27" ht="14" x14ac:dyDescent="0.15">
      <c r="A182" s="9">
        <v>181</v>
      </c>
      <c r="B182" s="9" t="s">
        <v>199</v>
      </c>
      <c r="C182" s="9" t="s">
        <v>23</v>
      </c>
      <c r="D182" s="10">
        <v>331.16</v>
      </c>
      <c r="E182" s="10">
        <v>331.16</v>
      </c>
      <c r="F182" s="10">
        <v>0.95</v>
      </c>
      <c r="G182" s="9">
        <f t="shared" si="7"/>
        <v>57.403009999999995</v>
      </c>
      <c r="H182" s="13" t="s">
        <v>119</v>
      </c>
      <c r="I182" s="12"/>
      <c r="K182">
        <f t="shared" si="8"/>
        <v>331.16</v>
      </c>
      <c r="L182" s="1"/>
      <c r="M182" s="1"/>
      <c r="N182" s="1"/>
      <c r="T182" s="1"/>
      <c r="U182" s="1"/>
      <c r="V182" s="1"/>
      <c r="W182" s="1"/>
      <c r="X182" s="1"/>
      <c r="Y182" s="1"/>
      <c r="Z182" s="1"/>
      <c r="AA182" s="1"/>
    </row>
    <row r="183" spans="1:27" ht="14" x14ac:dyDescent="0.15">
      <c r="A183" s="9">
        <v>182</v>
      </c>
      <c r="B183" s="9" t="s">
        <v>200</v>
      </c>
      <c r="C183" s="9" t="s">
        <v>14</v>
      </c>
      <c r="D183" s="10">
        <v>155.13999999999999</v>
      </c>
      <c r="E183" s="10">
        <v>163.63999999999999</v>
      </c>
      <c r="F183" s="10">
        <v>61.5</v>
      </c>
      <c r="G183" s="9">
        <f t="shared" si="7"/>
        <v>57.566649999999996</v>
      </c>
      <c r="H183" s="13" t="s">
        <v>119</v>
      </c>
      <c r="I183" s="12"/>
      <c r="J183" s="7">
        <f t="shared" ref="J183:J184" si="10">D183+8.5</f>
        <v>163.63999999999999</v>
      </c>
      <c r="K183">
        <f t="shared" si="8"/>
        <v>163.63999999999999</v>
      </c>
      <c r="L183" s="1"/>
      <c r="M183" s="1"/>
      <c r="N183" s="1"/>
      <c r="T183" s="1"/>
      <c r="U183" s="1"/>
      <c r="V183" s="1"/>
      <c r="W183" s="1"/>
      <c r="X183" s="1"/>
      <c r="Y183" s="1"/>
      <c r="Z183" s="1"/>
      <c r="AA183" s="1"/>
    </row>
    <row r="184" spans="1:27" ht="14" x14ac:dyDescent="0.15">
      <c r="A184" s="9">
        <v>183</v>
      </c>
      <c r="B184" s="9" t="s">
        <v>201</v>
      </c>
      <c r="C184" s="9" t="s">
        <v>19</v>
      </c>
      <c r="D184" s="10">
        <v>319.39</v>
      </c>
      <c r="E184" s="10">
        <v>327.89</v>
      </c>
      <c r="F184" s="10">
        <v>42.38</v>
      </c>
      <c r="G184" s="9">
        <f t="shared" si="7"/>
        <v>57.894539999999992</v>
      </c>
      <c r="H184" s="13" t="s">
        <v>119</v>
      </c>
      <c r="I184" s="12"/>
      <c r="J184" s="7">
        <f t="shared" si="10"/>
        <v>327.89</v>
      </c>
      <c r="K184">
        <f t="shared" si="8"/>
        <v>327.89</v>
      </c>
      <c r="L184" s="1"/>
      <c r="M184" s="1"/>
      <c r="N184" s="1"/>
      <c r="T184" s="1"/>
      <c r="U184" s="1"/>
      <c r="V184" s="1"/>
      <c r="W184" s="1"/>
      <c r="X184" s="1"/>
      <c r="Y184" s="1"/>
      <c r="Z184" s="1"/>
      <c r="AA184" s="1"/>
    </row>
    <row r="185" spans="1:27" ht="14" x14ac:dyDescent="0.15">
      <c r="A185" s="9">
        <v>184</v>
      </c>
      <c r="B185" s="9" t="s">
        <v>202</v>
      </c>
      <c r="C185" s="9" t="s">
        <v>23</v>
      </c>
      <c r="D185" s="10">
        <v>188.19</v>
      </c>
      <c r="E185" s="10">
        <v>188.19</v>
      </c>
      <c r="F185" s="10">
        <v>2.76</v>
      </c>
      <c r="G185" s="9">
        <f t="shared" si="7"/>
        <v>58.082729999999991</v>
      </c>
      <c r="H185" s="13" t="s">
        <v>119</v>
      </c>
      <c r="I185" s="12"/>
      <c r="K185">
        <f t="shared" si="8"/>
        <v>188.19</v>
      </c>
      <c r="L185" s="1"/>
      <c r="M185" s="1"/>
      <c r="N185" s="1"/>
      <c r="T185" s="1"/>
      <c r="U185" s="1"/>
      <c r="V185" s="1"/>
      <c r="W185" s="1"/>
      <c r="X185" s="1"/>
      <c r="Y185" s="1"/>
      <c r="Z185" s="1"/>
      <c r="AA185" s="1"/>
    </row>
    <row r="186" spans="1:27" ht="14" x14ac:dyDescent="0.15">
      <c r="A186" s="9">
        <v>185</v>
      </c>
      <c r="B186" s="9" t="s">
        <v>203</v>
      </c>
      <c r="C186" s="9" t="s">
        <v>19</v>
      </c>
      <c r="D186" s="10">
        <v>89.94</v>
      </c>
      <c r="E186" s="10">
        <v>98.44</v>
      </c>
      <c r="F186" s="10">
        <v>16</v>
      </c>
      <c r="G186" s="9">
        <f t="shared" si="7"/>
        <v>58.181169999999987</v>
      </c>
      <c r="H186" s="13" t="s">
        <v>119</v>
      </c>
      <c r="I186" s="12"/>
      <c r="J186" s="7">
        <f>D186+8.5</f>
        <v>98.44</v>
      </c>
      <c r="K186">
        <f t="shared" si="8"/>
        <v>98.44</v>
      </c>
      <c r="L186" s="1"/>
      <c r="M186" s="1"/>
      <c r="N186" s="1"/>
      <c r="T186" s="1"/>
      <c r="U186" s="1"/>
      <c r="V186" s="1"/>
      <c r="W186" s="1"/>
      <c r="X186" s="1"/>
      <c r="Y186" s="1"/>
      <c r="Z186" s="1"/>
      <c r="AA186" s="1"/>
    </row>
    <row r="187" spans="1:27" ht="14" x14ac:dyDescent="0.15">
      <c r="A187" s="9">
        <v>186</v>
      </c>
      <c r="B187" s="9" t="s">
        <v>204</v>
      </c>
      <c r="C187" s="9" t="s">
        <v>10</v>
      </c>
      <c r="D187" s="10">
        <v>51.1</v>
      </c>
      <c r="E187" s="10">
        <v>51.1</v>
      </c>
      <c r="F187" s="10">
        <v>7.8</v>
      </c>
      <c r="G187" s="9">
        <f t="shared" si="7"/>
        <v>58.232269999999986</v>
      </c>
      <c r="H187" s="13" t="s">
        <v>119</v>
      </c>
      <c r="I187" s="12"/>
      <c r="K187">
        <f t="shared" si="8"/>
        <v>51.1</v>
      </c>
      <c r="L187" s="1"/>
      <c r="M187" s="1"/>
      <c r="N187" s="1"/>
      <c r="T187" s="1"/>
      <c r="U187" s="1"/>
      <c r="V187" s="1"/>
      <c r="W187" s="1"/>
      <c r="X187" s="1"/>
      <c r="Y187" s="1"/>
      <c r="Z187" s="1"/>
      <c r="AA187" s="1"/>
    </row>
    <row r="188" spans="1:27" ht="14" x14ac:dyDescent="0.15">
      <c r="A188" s="9">
        <v>187</v>
      </c>
      <c r="B188" s="9" t="s">
        <v>205</v>
      </c>
      <c r="C188" s="9" t="s">
        <v>10</v>
      </c>
      <c r="D188" s="10">
        <v>76.86</v>
      </c>
      <c r="E188" s="10">
        <v>76.86</v>
      </c>
      <c r="F188" s="10">
        <v>1.82</v>
      </c>
      <c r="G188" s="9">
        <f t="shared" si="7"/>
        <v>58.309129999999989</v>
      </c>
      <c r="H188" s="13" t="s">
        <v>119</v>
      </c>
      <c r="I188" s="12"/>
      <c r="K188">
        <f t="shared" si="8"/>
        <v>76.86</v>
      </c>
      <c r="L188" s="1"/>
      <c r="M188" s="1"/>
      <c r="N188" s="1"/>
      <c r="T188" s="1"/>
      <c r="U188" s="1"/>
      <c r="V188" s="1"/>
      <c r="W188" s="1"/>
      <c r="X188" s="1"/>
      <c r="Y188" s="1"/>
      <c r="Z188" s="1"/>
      <c r="AA188" s="1"/>
    </row>
    <row r="189" spans="1:27" ht="14" x14ac:dyDescent="0.15">
      <c r="A189" s="9">
        <v>188</v>
      </c>
      <c r="B189" s="9" t="s">
        <v>206</v>
      </c>
      <c r="C189" s="9" t="s">
        <v>14</v>
      </c>
      <c r="D189" s="10">
        <v>228.96</v>
      </c>
      <c r="E189" s="10">
        <v>237.46</v>
      </c>
      <c r="F189" s="10">
        <v>21.76</v>
      </c>
      <c r="G189" s="9">
        <f t="shared" si="7"/>
        <v>58.546589999999988</v>
      </c>
      <c r="H189" s="13" t="s">
        <v>119</v>
      </c>
      <c r="I189" s="12"/>
      <c r="J189" s="7">
        <f>D189+8.5</f>
        <v>237.46</v>
      </c>
      <c r="K189">
        <f t="shared" si="8"/>
        <v>237.46</v>
      </c>
      <c r="L189" s="1"/>
      <c r="M189" s="1"/>
      <c r="N189" s="1"/>
      <c r="T189" s="1"/>
      <c r="U189" s="1"/>
      <c r="V189" s="1"/>
      <c r="W189" s="1"/>
      <c r="X189" s="1"/>
      <c r="Y189" s="1"/>
      <c r="Z189" s="1"/>
      <c r="AA189" s="1"/>
    </row>
    <row r="190" spans="1:27" ht="14" x14ac:dyDescent="0.15">
      <c r="A190" s="9">
        <v>189</v>
      </c>
      <c r="B190" s="9" t="s">
        <v>207</v>
      </c>
      <c r="C190" s="9" t="s">
        <v>16</v>
      </c>
      <c r="D190" s="10">
        <v>284.83</v>
      </c>
      <c r="E190" s="10">
        <v>284.83</v>
      </c>
      <c r="F190" s="10">
        <v>5.75</v>
      </c>
      <c r="G190" s="9">
        <f t="shared" si="7"/>
        <v>58.831419999999987</v>
      </c>
      <c r="H190" s="13" t="s">
        <v>119</v>
      </c>
      <c r="I190" s="12"/>
      <c r="K190">
        <f t="shared" si="8"/>
        <v>284.83</v>
      </c>
      <c r="L190" s="1"/>
      <c r="M190" s="1"/>
      <c r="N190" s="1"/>
      <c r="T190" s="1"/>
      <c r="U190" s="1"/>
      <c r="V190" s="1"/>
      <c r="W190" s="1"/>
      <c r="X190" s="1"/>
      <c r="Y190" s="1"/>
      <c r="Z190" s="1"/>
      <c r="AA190" s="1"/>
    </row>
    <row r="191" spans="1:27" ht="14" x14ac:dyDescent="0.15">
      <c r="A191" s="9">
        <v>190</v>
      </c>
      <c r="B191" s="9" t="s">
        <v>208</v>
      </c>
      <c r="C191" s="9" t="s">
        <v>23</v>
      </c>
      <c r="D191" s="10">
        <v>362.39</v>
      </c>
      <c r="E191" s="10">
        <v>362.39</v>
      </c>
      <c r="F191" s="10">
        <v>0.1</v>
      </c>
      <c r="G191" s="9">
        <f t="shared" si="7"/>
        <v>59.193809999999985</v>
      </c>
      <c r="H191" s="13" t="s">
        <v>119</v>
      </c>
      <c r="I191" s="12"/>
      <c r="K191">
        <f t="shared" si="8"/>
        <v>362.39</v>
      </c>
      <c r="L191" s="1"/>
      <c r="M191" s="1"/>
      <c r="N191" s="1"/>
      <c r="T191" s="1"/>
      <c r="U191" s="1"/>
      <c r="V191" s="1"/>
      <c r="W191" s="1"/>
      <c r="X191" s="1"/>
      <c r="Y191" s="1"/>
      <c r="Z191" s="1"/>
      <c r="AA191" s="1"/>
    </row>
    <row r="192" spans="1:27" ht="14" x14ac:dyDescent="0.15">
      <c r="A192" s="9">
        <v>191</v>
      </c>
      <c r="B192" s="9" t="s">
        <v>209</v>
      </c>
      <c r="C192" s="9" t="s">
        <v>23</v>
      </c>
      <c r="D192" s="10">
        <v>326.64</v>
      </c>
      <c r="E192" s="10">
        <v>326.64</v>
      </c>
      <c r="F192" s="10">
        <v>0.08</v>
      </c>
      <c r="G192" s="9">
        <f t="shared" si="7"/>
        <v>59.520449999999983</v>
      </c>
      <c r="H192" s="13" t="s">
        <v>119</v>
      </c>
      <c r="I192" s="12"/>
      <c r="K192">
        <f t="shared" si="8"/>
        <v>326.64</v>
      </c>
      <c r="L192" s="1"/>
      <c r="M192" s="1"/>
      <c r="N192" s="1"/>
      <c r="T192" s="1"/>
      <c r="U192" s="1"/>
      <c r="V192" s="1"/>
      <c r="W192" s="1"/>
      <c r="X192" s="1"/>
      <c r="Y192" s="1"/>
      <c r="Z192" s="1"/>
      <c r="AA192" s="1"/>
    </row>
    <row r="193" spans="1:27" ht="14" x14ac:dyDescent="0.15">
      <c r="A193" s="9">
        <v>192</v>
      </c>
      <c r="B193" s="9" t="s">
        <v>210</v>
      </c>
      <c r="C193" s="9" t="s">
        <v>28</v>
      </c>
      <c r="D193" s="10">
        <v>314.95</v>
      </c>
      <c r="E193" s="10">
        <v>323.45</v>
      </c>
      <c r="F193" s="10">
        <v>16.87</v>
      </c>
      <c r="G193" s="9">
        <f t="shared" si="7"/>
        <v>59.843899999999984</v>
      </c>
      <c r="H193" s="13" t="s">
        <v>119</v>
      </c>
      <c r="I193" s="12"/>
      <c r="J193" s="7">
        <f>D193+8.5</f>
        <v>323.45</v>
      </c>
      <c r="K193">
        <f t="shared" si="8"/>
        <v>323.45</v>
      </c>
      <c r="L193" s="1"/>
      <c r="M193" s="1"/>
      <c r="N193" s="1"/>
      <c r="T193" s="1"/>
      <c r="U193" s="1"/>
      <c r="V193" s="1"/>
      <c r="W193" s="1"/>
      <c r="X193" s="1"/>
      <c r="Y193" s="1"/>
      <c r="Z193" s="1"/>
      <c r="AA193" s="1"/>
    </row>
    <row r="194" spans="1:27" ht="14" x14ac:dyDescent="0.15">
      <c r="A194" s="9">
        <v>193</v>
      </c>
      <c r="B194" s="9" t="s">
        <v>211</v>
      </c>
      <c r="C194" s="9" t="s">
        <v>23</v>
      </c>
      <c r="D194" s="10">
        <v>247.2</v>
      </c>
      <c r="E194" s="10">
        <v>247.2</v>
      </c>
      <c r="F194" s="10">
        <v>0.43</v>
      </c>
      <c r="G194" s="9">
        <f t="shared" si="7"/>
        <v>60.091099999999983</v>
      </c>
      <c r="H194" s="13" t="s">
        <v>119</v>
      </c>
      <c r="I194" s="12"/>
      <c r="K194">
        <f t="shared" si="8"/>
        <v>247.2</v>
      </c>
      <c r="L194" s="1"/>
      <c r="M194" s="1"/>
      <c r="N194" s="1"/>
      <c r="T194" s="1"/>
      <c r="U194" s="1"/>
      <c r="V194" s="1"/>
      <c r="W194" s="1"/>
      <c r="X194" s="1"/>
      <c r="Y194" s="1"/>
      <c r="Z194" s="1"/>
      <c r="AA194" s="1"/>
    </row>
    <row r="195" spans="1:27" ht="14" x14ac:dyDescent="0.15">
      <c r="A195" s="9">
        <v>194</v>
      </c>
      <c r="B195" s="9" t="s">
        <v>212</v>
      </c>
      <c r="C195" s="9" t="s">
        <v>23</v>
      </c>
      <c r="D195" s="10">
        <v>226.34</v>
      </c>
      <c r="E195" s="10">
        <v>226.34</v>
      </c>
      <c r="F195" s="10">
        <v>0.25</v>
      </c>
      <c r="G195" s="9">
        <f t="shared" si="7"/>
        <v>60.317439999999984</v>
      </c>
      <c r="H195" s="13" t="s">
        <v>119</v>
      </c>
      <c r="I195" s="12"/>
      <c r="K195">
        <f t="shared" si="8"/>
        <v>226.34</v>
      </c>
      <c r="L195" s="1"/>
      <c r="M195" s="1"/>
      <c r="N195" s="1"/>
      <c r="T195" s="1"/>
      <c r="U195" s="1"/>
      <c r="V195" s="1"/>
      <c r="W195" s="1"/>
      <c r="X195" s="1"/>
      <c r="Y195" s="1"/>
      <c r="Z195" s="1"/>
      <c r="AA195" s="1"/>
    </row>
    <row r="196" spans="1:27" ht="14" x14ac:dyDescent="0.15">
      <c r="A196" s="9">
        <v>195</v>
      </c>
      <c r="B196" s="9" t="s">
        <v>213</v>
      </c>
      <c r="C196" s="9" t="s">
        <v>28</v>
      </c>
      <c r="D196" s="10">
        <v>257.98</v>
      </c>
      <c r="E196" s="10">
        <v>266.48</v>
      </c>
      <c r="F196" s="10">
        <v>19.66</v>
      </c>
      <c r="G196" s="9">
        <f t="shared" ref="G196:G259" si="11">E196/1000+G195</f>
        <v>60.583919999999985</v>
      </c>
      <c r="H196" s="13" t="s">
        <v>119</v>
      </c>
      <c r="I196" s="12"/>
      <c r="J196" s="7">
        <f>D196+8.5</f>
        <v>266.48</v>
      </c>
      <c r="K196">
        <f t="shared" ref="K196:K259" si="12">IF(J196&lt;&gt;"",J196,D196)</f>
        <v>266.48</v>
      </c>
      <c r="L196" s="1"/>
      <c r="M196" s="1"/>
      <c r="N196" s="1"/>
      <c r="T196" s="1"/>
      <c r="U196" s="1"/>
      <c r="V196" s="1"/>
      <c r="W196" s="1"/>
      <c r="X196" s="1"/>
      <c r="Y196" s="1"/>
      <c r="Z196" s="1"/>
      <c r="AA196" s="1"/>
    </row>
    <row r="197" spans="1:27" ht="14" x14ac:dyDescent="0.15">
      <c r="A197" s="9">
        <v>196</v>
      </c>
      <c r="B197" s="9" t="s">
        <v>214</v>
      </c>
      <c r="C197" s="9" t="s">
        <v>23</v>
      </c>
      <c r="D197" s="10">
        <v>286.73</v>
      </c>
      <c r="E197" s="10">
        <v>286.73</v>
      </c>
      <c r="F197" s="10">
        <v>2.96</v>
      </c>
      <c r="G197" s="9">
        <f t="shared" si="11"/>
        <v>60.870649999999983</v>
      </c>
      <c r="H197" s="13" t="s">
        <v>119</v>
      </c>
      <c r="I197" s="12"/>
      <c r="K197">
        <f t="shared" si="12"/>
        <v>286.73</v>
      </c>
      <c r="L197" s="1"/>
      <c r="M197" s="1"/>
      <c r="N197" s="1"/>
      <c r="T197" s="1"/>
      <c r="U197" s="1"/>
      <c r="V197" s="1"/>
      <c r="W197" s="1"/>
      <c r="X197" s="1"/>
      <c r="Y197" s="1"/>
      <c r="Z197" s="1"/>
      <c r="AA197" s="1"/>
    </row>
    <row r="198" spans="1:27" ht="14" x14ac:dyDescent="0.15">
      <c r="A198" s="9">
        <v>197</v>
      </c>
      <c r="B198" s="9" t="s">
        <v>215</v>
      </c>
      <c r="C198" s="9" t="s">
        <v>23</v>
      </c>
      <c r="D198" s="10">
        <v>353.81</v>
      </c>
      <c r="E198" s="10">
        <v>353.81</v>
      </c>
      <c r="F198" s="10">
        <v>2.04</v>
      </c>
      <c r="G198" s="9">
        <f t="shared" si="11"/>
        <v>61.224459999999986</v>
      </c>
      <c r="H198" s="13" t="s">
        <v>119</v>
      </c>
      <c r="I198" s="12"/>
      <c r="K198">
        <f t="shared" si="12"/>
        <v>353.81</v>
      </c>
      <c r="L198" s="1"/>
      <c r="M198" s="1"/>
      <c r="N198" s="1"/>
      <c r="T198" s="1"/>
      <c r="U198" s="1"/>
      <c r="V198" s="1"/>
      <c r="W198" s="1"/>
      <c r="X198" s="1"/>
      <c r="Y198" s="1"/>
      <c r="Z198" s="1"/>
      <c r="AA198" s="1"/>
    </row>
    <row r="199" spans="1:27" ht="14" x14ac:dyDescent="0.15">
      <c r="A199" s="9">
        <v>198</v>
      </c>
      <c r="B199" s="9" t="s">
        <v>216</v>
      </c>
      <c r="C199" s="9" t="s">
        <v>23</v>
      </c>
      <c r="D199" s="10">
        <v>277.33999999999997</v>
      </c>
      <c r="E199" s="10">
        <v>277.33999999999997</v>
      </c>
      <c r="F199" s="10">
        <v>0.28000000000000003</v>
      </c>
      <c r="G199" s="9">
        <f t="shared" si="11"/>
        <v>61.501799999999989</v>
      </c>
      <c r="H199" s="13" t="s">
        <v>119</v>
      </c>
      <c r="I199" s="12"/>
      <c r="K199">
        <f t="shared" si="12"/>
        <v>277.33999999999997</v>
      </c>
      <c r="L199" s="1"/>
      <c r="M199" s="1"/>
      <c r="N199" s="1"/>
      <c r="T199" s="1"/>
      <c r="U199" s="1"/>
      <c r="V199" s="1"/>
      <c r="W199" s="1"/>
      <c r="X199" s="1"/>
      <c r="Y199" s="1"/>
      <c r="Z199" s="1"/>
      <c r="AA199" s="1"/>
    </row>
    <row r="200" spans="1:27" ht="14" x14ac:dyDescent="0.15">
      <c r="A200" s="9">
        <v>199</v>
      </c>
      <c r="B200" s="9" t="s">
        <v>217</v>
      </c>
      <c r="C200" s="9" t="s">
        <v>23</v>
      </c>
      <c r="D200" s="10">
        <v>247.79</v>
      </c>
      <c r="E200" s="10">
        <v>247.79</v>
      </c>
      <c r="F200" s="10">
        <v>0.31</v>
      </c>
      <c r="G200" s="9">
        <f t="shared" si="11"/>
        <v>61.749589999999991</v>
      </c>
      <c r="H200" s="13" t="s">
        <v>119</v>
      </c>
      <c r="I200" s="12"/>
      <c r="K200">
        <f t="shared" si="12"/>
        <v>247.79</v>
      </c>
      <c r="L200" s="1"/>
      <c r="M200" s="1"/>
      <c r="N200" s="1"/>
      <c r="T200" s="1"/>
      <c r="U200" s="1"/>
      <c r="V200" s="1"/>
      <c r="W200" s="1"/>
      <c r="X200" s="1"/>
      <c r="Y200" s="1"/>
      <c r="Z200" s="1"/>
      <c r="AA200" s="1"/>
    </row>
    <row r="201" spans="1:27" ht="14" x14ac:dyDescent="0.15">
      <c r="A201" s="9">
        <v>200</v>
      </c>
      <c r="B201" s="9" t="s">
        <v>218</v>
      </c>
      <c r="C201" s="9" t="s">
        <v>28</v>
      </c>
      <c r="D201" s="10">
        <v>355.91</v>
      </c>
      <c r="E201" s="10">
        <v>364.41</v>
      </c>
      <c r="F201" s="10">
        <v>25.52</v>
      </c>
      <c r="G201" s="9">
        <f t="shared" si="11"/>
        <v>62.11399999999999</v>
      </c>
      <c r="H201" s="13" t="s">
        <v>119</v>
      </c>
      <c r="I201" s="12"/>
      <c r="J201" s="7">
        <f>D201+8.5</f>
        <v>364.41</v>
      </c>
      <c r="K201">
        <f t="shared" si="12"/>
        <v>364.41</v>
      </c>
      <c r="L201" s="1"/>
      <c r="M201" s="1"/>
      <c r="N201" s="1"/>
      <c r="T201" s="1"/>
      <c r="U201" s="1"/>
      <c r="V201" s="1"/>
      <c r="W201" s="1"/>
      <c r="X201" s="1"/>
      <c r="Y201" s="1"/>
      <c r="Z201" s="1"/>
      <c r="AA201" s="1"/>
    </row>
    <row r="202" spans="1:27" ht="14" x14ac:dyDescent="0.15">
      <c r="A202" s="9">
        <v>201</v>
      </c>
      <c r="B202" s="9" t="s">
        <v>219</v>
      </c>
      <c r="C202" s="9" t="s">
        <v>23</v>
      </c>
      <c r="D202" s="10">
        <v>373.52</v>
      </c>
      <c r="E202" s="10">
        <v>373.52</v>
      </c>
      <c r="F202" s="10">
        <v>0.49</v>
      </c>
      <c r="G202" s="9">
        <f t="shared" si="11"/>
        <v>62.487519999999989</v>
      </c>
      <c r="H202" s="13" t="s">
        <v>119</v>
      </c>
      <c r="I202" s="12"/>
      <c r="K202">
        <f t="shared" si="12"/>
        <v>373.52</v>
      </c>
      <c r="L202" s="1"/>
      <c r="M202" s="1"/>
      <c r="N202" s="1"/>
      <c r="T202" s="1"/>
      <c r="U202" s="1"/>
      <c r="V202" s="1"/>
      <c r="W202" s="1"/>
      <c r="X202" s="1"/>
      <c r="Y202" s="1"/>
      <c r="Z202" s="1"/>
      <c r="AA202" s="1"/>
    </row>
    <row r="203" spans="1:27" ht="14" x14ac:dyDescent="0.15">
      <c r="A203" s="9">
        <v>202</v>
      </c>
      <c r="B203" s="9" t="s">
        <v>220</v>
      </c>
      <c r="C203" s="9" t="s">
        <v>23</v>
      </c>
      <c r="D203" s="10">
        <v>264.14999999999998</v>
      </c>
      <c r="E203" s="10">
        <v>264.14999999999998</v>
      </c>
      <c r="F203" s="10">
        <v>0.64</v>
      </c>
      <c r="G203" s="9">
        <f t="shared" si="11"/>
        <v>62.75166999999999</v>
      </c>
      <c r="H203" s="13" t="s">
        <v>119</v>
      </c>
      <c r="I203" s="12"/>
      <c r="K203">
        <f t="shared" si="12"/>
        <v>264.14999999999998</v>
      </c>
      <c r="L203" s="1"/>
      <c r="M203" s="1"/>
      <c r="N203" s="1"/>
      <c r="T203" s="1"/>
      <c r="U203" s="1"/>
      <c r="V203" s="1"/>
      <c r="W203" s="1"/>
      <c r="X203" s="1"/>
      <c r="Y203" s="1"/>
      <c r="Z203" s="1"/>
      <c r="AA203" s="1"/>
    </row>
    <row r="204" spans="1:27" ht="14" x14ac:dyDescent="0.15">
      <c r="A204" s="9">
        <v>203</v>
      </c>
      <c r="B204" s="9" t="s">
        <v>221</v>
      </c>
      <c r="C204" s="9" t="s">
        <v>23</v>
      </c>
      <c r="D204" s="10">
        <v>324.85000000000002</v>
      </c>
      <c r="E204" s="10">
        <v>324.85000000000002</v>
      </c>
      <c r="F204" s="10">
        <v>0</v>
      </c>
      <c r="G204" s="9">
        <f t="shared" si="11"/>
        <v>63.076519999999988</v>
      </c>
      <c r="H204" s="13" t="s">
        <v>119</v>
      </c>
      <c r="I204" s="12"/>
      <c r="K204">
        <f t="shared" si="12"/>
        <v>324.85000000000002</v>
      </c>
      <c r="L204" s="1"/>
      <c r="M204" s="1"/>
      <c r="N204" s="1"/>
      <c r="T204" s="1"/>
      <c r="U204" s="1"/>
      <c r="V204" s="1"/>
      <c r="W204" s="1"/>
      <c r="X204" s="1"/>
      <c r="Y204" s="1"/>
      <c r="Z204" s="1"/>
      <c r="AA204" s="1"/>
    </row>
    <row r="205" spans="1:27" ht="14" x14ac:dyDescent="0.15">
      <c r="A205" s="9">
        <v>204</v>
      </c>
      <c r="B205" s="9" t="s">
        <v>222</v>
      </c>
      <c r="C205" s="9" t="s">
        <v>23</v>
      </c>
      <c r="D205" s="10">
        <v>329.49</v>
      </c>
      <c r="E205" s="10">
        <v>329.49</v>
      </c>
      <c r="F205" s="10">
        <v>0.8</v>
      </c>
      <c r="G205" s="9">
        <f t="shared" si="11"/>
        <v>63.406009999999988</v>
      </c>
      <c r="H205" s="13" t="s">
        <v>119</v>
      </c>
      <c r="I205" s="12"/>
      <c r="K205">
        <f t="shared" si="12"/>
        <v>329.49</v>
      </c>
      <c r="L205" s="1"/>
      <c r="M205" s="1"/>
      <c r="N205" s="1"/>
      <c r="T205" s="1"/>
      <c r="U205" s="1"/>
      <c r="V205" s="1"/>
      <c r="W205" s="1"/>
      <c r="X205" s="1"/>
      <c r="Y205" s="1"/>
      <c r="Z205" s="1"/>
      <c r="AA205" s="1"/>
    </row>
    <row r="206" spans="1:27" ht="14" x14ac:dyDescent="0.15">
      <c r="A206" s="9">
        <v>205</v>
      </c>
      <c r="B206" s="9" t="s">
        <v>223</v>
      </c>
      <c r="C206" s="9" t="s">
        <v>23</v>
      </c>
      <c r="D206" s="10">
        <v>281.75</v>
      </c>
      <c r="E206" s="10">
        <v>281.75</v>
      </c>
      <c r="F206" s="10">
        <v>0.63</v>
      </c>
      <c r="G206" s="9">
        <f t="shared" si="11"/>
        <v>63.68775999999999</v>
      </c>
      <c r="H206" s="13" t="s">
        <v>119</v>
      </c>
      <c r="I206" s="12"/>
      <c r="K206">
        <f t="shared" si="12"/>
        <v>281.75</v>
      </c>
      <c r="L206" s="1"/>
      <c r="M206" s="1"/>
      <c r="N206" s="1"/>
      <c r="T206" s="1"/>
      <c r="U206" s="1"/>
      <c r="V206" s="1"/>
      <c r="W206" s="1"/>
      <c r="X206" s="1"/>
      <c r="Y206" s="1"/>
      <c r="Z206" s="1"/>
      <c r="AA206" s="1"/>
    </row>
    <row r="207" spans="1:27" ht="14" x14ac:dyDescent="0.15">
      <c r="A207" s="9">
        <v>206</v>
      </c>
      <c r="B207" s="9" t="s">
        <v>224</v>
      </c>
      <c r="C207" s="9" t="s">
        <v>28</v>
      </c>
      <c r="D207" s="10">
        <v>297.67</v>
      </c>
      <c r="E207" s="10">
        <v>306.17</v>
      </c>
      <c r="F207" s="10">
        <v>16.37</v>
      </c>
      <c r="G207" s="9">
        <f t="shared" si="11"/>
        <v>63.993929999999992</v>
      </c>
      <c r="H207" s="13" t="s">
        <v>119</v>
      </c>
      <c r="I207" s="12"/>
      <c r="J207" s="7">
        <f>D207+8.5</f>
        <v>306.17</v>
      </c>
      <c r="K207">
        <f t="shared" si="12"/>
        <v>306.17</v>
      </c>
      <c r="L207" s="1"/>
      <c r="M207" s="1"/>
      <c r="N207" s="1"/>
      <c r="T207" s="1"/>
      <c r="U207" s="1"/>
      <c r="V207" s="1"/>
      <c r="W207" s="1"/>
      <c r="X207" s="1"/>
      <c r="Y207" s="1"/>
      <c r="Z207" s="1"/>
      <c r="AA207" s="1"/>
    </row>
    <row r="208" spans="1:27" ht="14" x14ac:dyDescent="0.15">
      <c r="A208" s="9">
        <v>207</v>
      </c>
      <c r="B208" s="9" t="s">
        <v>225</v>
      </c>
      <c r="C208" s="9" t="s">
        <v>23</v>
      </c>
      <c r="D208" s="10">
        <v>333.73</v>
      </c>
      <c r="E208" s="10">
        <v>333.73</v>
      </c>
      <c r="F208" s="10">
        <v>0.17</v>
      </c>
      <c r="G208" s="9">
        <f t="shared" si="11"/>
        <v>64.327659999999995</v>
      </c>
      <c r="H208" s="13" t="s">
        <v>119</v>
      </c>
      <c r="I208" s="12"/>
      <c r="K208">
        <f t="shared" si="12"/>
        <v>333.73</v>
      </c>
      <c r="L208" s="1"/>
      <c r="M208" s="1"/>
      <c r="N208" s="1"/>
      <c r="T208" s="1"/>
      <c r="U208" s="1"/>
      <c r="V208" s="1"/>
      <c r="W208" s="1"/>
      <c r="X208" s="1"/>
      <c r="Y208" s="1"/>
      <c r="Z208" s="1"/>
      <c r="AA208" s="1"/>
    </row>
    <row r="209" spans="1:27" ht="14" x14ac:dyDescent="0.15">
      <c r="A209" s="9">
        <v>208</v>
      </c>
      <c r="B209" s="9" t="s">
        <v>226</v>
      </c>
      <c r="C209" s="9" t="s">
        <v>23</v>
      </c>
      <c r="D209" s="10">
        <v>325.45999999999998</v>
      </c>
      <c r="E209" s="10">
        <v>325.45999999999998</v>
      </c>
      <c r="F209" s="10">
        <v>0.02</v>
      </c>
      <c r="G209" s="9">
        <f t="shared" si="11"/>
        <v>64.653120000000001</v>
      </c>
      <c r="H209" s="13" t="s">
        <v>119</v>
      </c>
      <c r="I209" s="12"/>
      <c r="K209">
        <f t="shared" si="12"/>
        <v>325.45999999999998</v>
      </c>
      <c r="L209" s="1"/>
      <c r="M209" s="1"/>
      <c r="N209" s="1"/>
      <c r="T209" s="1"/>
      <c r="U209" s="1"/>
      <c r="V209" s="1"/>
      <c r="W209" s="1"/>
      <c r="X209" s="1"/>
      <c r="Y209" s="1"/>
      <c r="Z209" s="1"/>
      <c r="AA209" s="1"/>
    </row>
    <row r="210" spans="1:27" ht="14" x14ac:dyDescent="0.15">
      <c r="A210" s="9">
        <v>209</v>
      </c>
      <c r="B210" s="9" t="s">
        <v>227</v>
      </c>
      <c r="C210" s="9" t="s">
        <v>23</v>
      </c>
      <c r="D210" s="10">
        <v>314.14</v>
      </c>
      <c r="E210" s="10">
        <v>314.14</v>
      </c>
      <c r="F210" s="10">
        <v>0.46</v>
      </c>
      <c r="G210" s="9">
        <f t="shared" si="11"/>
        <v>64.967259999999996</v>
      </c>
      <c r="H210" s="13" t="s">
        <v>119</v>
      </c>
      <c r="I210" s="12"/>
      <c r="K210">
        <f t="shared" si="12"/>
        <v>314.14</v>
      </c>
      <c r="L210" s="1"/>
      <c r="M210" s="1"/>
      <c r="N210" s="1"/>
      <c r="T210" s="1"/>
      <c r="U210" s="1"/>
      <c r="V210" s="1"/>
      <c r="W210" s="1"/>
      <c r="X210" s="1"/>
      <c r="Y210" s="1"/>
      <c r="Z210" s="1"/>
      <c r="AA210" s="1"/>
    </row>
    <row r="211" spans="1:27" ht="14" x14ac:dyDescent="0.15">
      <c r="A211" s="9">
        <v>210</v>
      </c>
      <c r="B211" s="9" t="s">
        <v>228</v>
      </c>
      <c r="C211" s="9" t="s">
        <v>23</v>
      </c>
      <c r="D211" s="10">
        <v>327.76</v>
      </c>
      <c r="E211" s="10">
        <v>327.76</v>
      </c>
      <c r="F211" s="10">
        <v>0.82</v>
      </c>
      <c r="G211" s="9">
        <f t="shared" si="11"/>
        <v>65.295019999999994</v>
      </c>
      <c r="H211" s="13" t="s">
        <v>119</v>
      </c>
      <c r="I211" s="12"/>
      <c r="K211">
        <f t="shared" si="12"/>
        <v>327.76</v>
      </c>
      <c r="L211" s="1"/>
      <c r="M211" s="1"/>
      <c r="N211" s="1"/>
      <c r="T211" s="1"/>
      <c r="U211" s="1"/>
      <c r="V211" s="1"/>
      <c r="W211" s="1"/>
      <c r="X211" s="1"/>
      <c r="Y211" s="1"/>
      <c r="Z211" s="1"/>
      <c r="AA211" s="1"/>
    </row>
    <row r="212" spans="1:27" ht="14" x14ac:dyDescent="0.15">
      <c r="A212" s="9">
        <v>211</v>
      </c>
      <c r="B212" s="9" t="s">
        <v>229</v>
      </c>
      <c r="C212" s="9" t="s">
        <v>19</v>
      </c>
      <c r="D212" s="10">
        <v>281.23</v>
      </c>
      <c r="E212" s="10">
        <v>289.73</v>
      </c>
      <c r="F212" s="10">
        <v>56.26</v>
      </c>
      <c r="G212" s="9">
        <f t="shared" si="11"/>
        <v>65.58475</v>
      </c>
      <c r="H212" s="13" t="s">
        <v>119</v>
      </c>
      <c r="I212" s="12"/>
      <c r="J212" s="7">
        <f>D212+8.5</f>
        <v>289.73</v>
      </c>
      <c r="K212">
        <f t="shared" si="12"/>
        <v>289.73</v>
      </c>
      <c r="L212" s="1"/>
      <c r="M212" s="1"/>
      <c r="N212" s="1"/>
      <c r="T212" s="1"/>
      <c r="U212" s="1"/>
      <c r="V212" s="1"/>
      <c r="W212" s="1"/>
      <c r="X212" s="1"/>
      <c r="Y212" s="1"/>
      <c r="Z212" s="1"/>
      <c r="AA212" s="1"/>
    </row>
    <row r="213" spans="1:27" ht="14" x14ac:dyDescent="0.15">
      <c r="A213" s="9">
        <v>212</v>
      </c>
      <c r="B213" s="9" t="s">
        <v>230</v>
      </c>
      <c r="C213" s="9" t="s">
        <v>23</v>
      </c>
      <c r="D213" s="10">
        <v>347.1</v>
      </c>
      <c r="E213" s="10">
        <v>347.1</v>
      </c>
      <c r="F213" s="10">
        <v>1.97</v>
      </c>
      <c r="G213" s="9">
        <f t="shared" si="11"/>
        <v>65.931849999999997</v>
      </c>
      <c r="H213" s="13" t="s">
        <v>119</v>
      </c>
      <c r="I213" s="12"/>
      <c r="K213">
        <f t="shared" si="12"/>
        <v>347.1</v>
      </c>
      <c r="L213" s="1"/>
      <c r="M213" s="1"/>
      <c r="N213" s="1"/>
      <c r="T213" s="1"/>
      <c r="U213" s="1"/>
      <c r="V213" s="1"/>
      <c r="W213" s="1"/>
      <c r="X213" s="1"/>
      <c r="Y213" s="1"/>
      <c r="Z213" s="1"/>
      <c r="AA213" s="1"/>
    </row>
    <row r="214" spans="1:27" ht="14" x14ac:dyDescent="0.15">
      <c r="A214" s="9">
        <v>213</v>
      </c>
      <c r="B214" s="9" t="s">
        <v>231</v>
      </c>
      <c r="C214" s="9" t="s">
        <v>23</v>
      </c>
      <c r="D214" s="10">
        <v>340.92</v>
      </c>
      <c r="E214" s="10">
        <v>340.92</v>
      </c>
      <c r="F214" s="10">
        <v>0.46</v>
      </c>
      <c r="G214" s="9">
        <f t="shared" si="11"/>
        <v>66.272769999999994</v>
      </c>
      <c r="H214" s="13" t="s">
        <v>119</v>
      </c>
      <c r="I214" s="12"/>
      <c r="K214">
        <f t="shared" si="12"/>
        <v>340.92</v>
      </c>
      <c r="L214" s="1"/>
      <c r="M214" s="1"/>
      <c r="N214" s="1"/>
      <c r="T214" s="1"/>
      <c r="U214" s="1"/>
      <c r="V214" s="1"/>
      <c r="W214" s="1"/>
      <c r="X214" s="1"/>
      <c r="Y214" s="1"/>
      <c r="Z214" s="1"/>
      <c r="AA214" s="1"/>
    </row>
    <row r="215" spans="1:27" ht="14" x14ac:dyDescent="0.15">
      <c r="A215" s="9">
        <v>214</v>
      </c>
      <c r="B215" s="9" t="s">
        <v>232</v>
      </c>
      <c r="C215" s="9" t="s">
        <v>23</v>
      </c>
      <c r="D215" s="10">
        <v>272.67</v>
      </c>
      <c r="E215" s="10">
        <v>272.67</v>
      </c>
      <c r="F215" s="10">
        <v>0.04</v>
      </c>
      <c r="G215" s="9">
        <f t="shared" si="11"/>
        <v>66.545439999999999</v>
      </c>
      <c r="H215" s="13" t="s">
        <v>119</v>
      </c>
      <c r="I215" s="12"/>
      <c r="K215">
        <f t="shared" si="12"/>
        <v>272.67</v>
      </c>
      <c r="L215" s="1"/>
      <c r="M215" s="1"/>
      <c r="N215" s="1"/>
      <c r="T215" s="1"/>
      <c r="U215" s="1"/>
      <c r="V215" s="1"/>
      <c r="W215" s="1"/>
      <c r="X215" s="1"/>
      <c r="Y215" s="1"/>
      <c r="Z215" s="1"/>
      <c r="AA215" s="1"/>
    </row>
    <row r="216" spans="1:27" ht="14" x14ac:dyDescent="0.15">
      <c r="A216" s="9">
        <v>215</v>
      </c>
      <c r="B216" s="9" t="s">
        <v>233</v>
      </c>
      <c r="C216" s="9" t="s">
        <v>23</v>
      </c>
      <c r="D216" s="10">
        <v>189.64</v>
      </c>
      <c r="E216" s="10">
        <v>189.64</v>
      </c>
      <c r="F216" s="10">
        <v>2.23</v>
      </c>
      <c r="G216" s="9">
        <f t="shared" si="11"/>
        <v>66.735079999999996</v>
      </c>
      <c r="H216" s="13" t="s">
        <v>119</v>
      </c>
      <c r="I216" s="12"/>
      <c r="K216">
        <f t="shared" si="12"/>
        <v>189.64</v>
      </c>
      <c r="L216" s="1"/>
      <c r="M216" s="1"/>
      <c r="N216" s="1"/>
      <c r="T216" s="1"/>
      <c r="U216" s="1"/>
      <c r="V216" s="1"/>
      <c r="W216" s="1"/>
      <c r="X216" s="1"/>
      <c r="Y216" s="1"/>
      <c r="Z216" s="1"/>
      <c r="AA216" s="1"/>
    </row>
    <row r="217" spans="1:27" ht="14" x14ac:dyDescent="0.15">
      <c r="A217" s="9">
        <v>216</v>
      </c>
      <c r="B217" s="9" t="s">
        <v>234</v>
      </c>
      <c r="C217" s="9" t="s">
        <v>16</v>
      </c>
      <c r="D217" s="10">
        <v>105.55</v>
      </c>
      <c r="E217" s="10">
        <v>105.55</v>
      </c>
      <c r="F217" s="10">
        <v>17.18</v>
      </c>
      <c r="G217" s="9">
        <f t="shared" si="11"/>
        <v>66.84062999999999</v>
      </c>
      <c r="H217" s="13" t="s">
        <v>119</v>
      </c>
      <c r="I217" s="12"/>
      <c r="K217">
        <f t="shared" si="12"/>
        <v>105.55</v>
      </c>
      <c r="L217" s="1"/>
      <c r="M217" s="1"/>
      <c r="N217" s="1"/>
      <c r="T217" s="1"/>
      <c r="U217" s="1"/>
      <c r="V217" s="1"/>
      <c r="W217" s="1"/>
      <c r="X217" s="1"/>
      <c r="Y217" s="1"/>
      <c r="Z217" s="1"/>
      <c r="AA217" s="1"/>
    </row>
    <row r="218" spans="1:27" ht="14" x14ac:dyDescent="0.15">
      <c r="A218" s="9">
        <v>217</v>
      </c>
      <c r="B218" s="9" t="s">
        <v>235</v>
      </c>
      <c r="C218" s="9" t="s">
        <v>19</v>
      </c>
      <c r="D218" s="10">
        <v>143.44999999999999</v>
      </c>
      <c r="E218" s="10">
        <v>151.94999999999999</v>
      </c>
      <c r="F218" s="10">
        <v>22.87</v>
      </c>
      <c r="G218" s="9">
        <f t="shared" si="11"/>
        <v>66.99257999999999</v>
      </c>
      <c r="H218" s="13" t="s">
        <v>119</v>
      </c>
      <c r="I218" s="12"/>
      <c r="J218" s="7">
        <f t="shared" ref="J218:J219" si="13">D218+8.5</f>
        <v>151.94999999999999</v>
      </c>
      <c r="K218">
        <f t="shared" si="12"/>
        <v>151.94999999999999</v>
      </c>
      <c r="L218" s="1"/>
      <c r="M218" s="1"/>
      <c r="N218" s="1"/>
      <c r="T218" s="1"/>
      <c r="U218" s="1"/>
      <c r="V218" s="1"/>
      <c r="W218" s="1"/>
      <c r="X218" s="1"/>
      <c r="Y218" s="1"/>
      <c r="Z218" s="1"/>
      <c r="AA218" s="1"/>
    </row>
    <row r="219" spans="1:27" ht="14" x14ac:dyDescent="0.15">
      <c r="A219" s="9">
        <v>218</v>
      </c>
      <c r="B219" s="9" t="s">
        <v>236</v>
      </c>
      <c r="C219" s="9" t="s">
        <v>19</v>
      </c>
      <c r="D219" s="10">
        <v>296.49</v>
      </c>
      <c r="E219" s="10">
        <v>304.99</v>
      </c>
      <c r="F219" s="10">
        <v>16.899999999999999</v>
      </c>
      <c r="G219" s="9">
        <f t="shared" si="11"/>
        <v>67.297569999999993</v>
      </c>
      <c r="H219" s="13" t="s">
        <v>119</v>
      </c>
      <c r="I219" s="12"/>
      <c r="J219" s="7">
        <f t="shared" si="13"/>
        <v>304.99</v>
      </c>
      <c r="K219">
        <f t="shared" si="12"/>
        <v>304.99</v>
      </c>
      <c r="L219" s="1"/>
      <c r="M219" s="1"/>
      <c r="N219" s="1"/>
      <c r="T219" s="1"/>
      <c r="U219" s="1"/>
      <c r="V219" s="1"/>
      <c r="W219" s="1"/>
      <c r="X219" s="1"/>
      <c r="Y219" s="1"/>
      <c r="Z219" s="1"/>
      <c r="AA219" s="1"/>
    </row>
    <row r="220" spans="1:27" ht="14" x14ac:dyDescent="0.15">
      <c r="A220" s="9">
        <v>219</v>
      </c>
      <c r="B220" s="9" t="s">
        <v>237</v>
      </c>
      <c r="C220" s="9" t="s">
        <v>23</v>
      </c>
      <c r="D220" s="10">
        <v>224.74</v>
      </c>
      <c r="E220" s="10">
        <v>224.74</v>
      </c>
      <c r="F220" s="10">
        <v>0.56000000000000005</v>
      </c>
      <c r="G220" s="9">
        <f t="shared" si="11"/>
        <v>67.52230999999999</v>
      </c>
      <c r="H220" s="13" t="s">
        <v>119</v>
      </c>
      <c r="I220" s="12"/>
      <c r="K220">
        <f t="shared" si="12"/>
        <v>224.74</v>
      </c>
      <c r="L220" s="1"/>
      <c r="M220" s="1"/>
      <c r="N220" s="1"/>
      <c r="T220" s="1"/>
      <c r="U220" s="1"/>
      <c r="V220" s="1"/>
      <c r="W220" s="1"/>
      <c r="X220" s="1"/>
      <c r="Y220" s="1"/>
      <c r="Z220" s="1"/>
      <c r="AA220" s="1"/>
    </row>
    <row r="221" spans="1:27" ht="14" x14ac:dyDescent="0.15">
      <c r="A221" s="9">
        <v>220</v>
      </c>
      <c r="B221" s="9" t="s">
        <v>238</v>
      </c>
      <c r="C221" s="9" t="s">
        <v>23</v>
      </c>
      <c r="D221" s="10">
        <v>346.97</v>
      </c>
      <c r="E221" s="10">
        <v>346.97</v>
      </c>
      <c r="F221" s="10">
        <v>1.62</v>
      </c>
      <c r="G221" s="9">
        <f t="shared" si="11"/>
        <v>67.869279999999989</v>
      </c>
      <c r="H221" s="13" t="s">
        <v>119</v>
      </c>
      <c r="I221" s="12"/>
      <c r="K221">
        <f t="shared" si="12"/>
        <v>346.97</v>
      </c>
      <c r="L221" s="1"/>
      <c r="M221" s="1"/>
      <c r="N221" s="1"/>
      <c r="T221" s="1"/>
      <c r="U221" s="1"/>
      <c r="V221" s="1"/>
      <c r="W221" s="1"/>
      <c r="X221" s="1"/>
      <c r="Y221" s="1"/>
      <c r="Z221" s="1"/>
      <c r="AA221" s="1"/>
    </row>
    <row r="222" spans="1:27" ht="14" x14ac:dyDescent="0.15">
      <c r="A222" s="9">
        <v>221</v>
      </c>
      <c r="B222" s="9" t="s">
        <v>239</v>
      </c>
      <c r="C222" s="9" t="s">
        <v>23</v>
      </c>
      <c r="D222" s="10">
        <v>333.49</v>
      </c>
      <c r="E222" s="10">
        <v>333.49</v>
      </c>
      <c r="F222" s="10">
        <v>3.64</v>
      </c>
      <c r="G222" s="9">
        <f t="shared" si="11"/>
        <v>68.202769999999987</v>
      </c>
      <c r="H222" s="13" t="s">
        <v>119</v>
      </c>
      <c r="I222" s="12"/>
      <c r="K222">
        <f t="shared" si="12"/>
        <v>333.49</v>
      </c>
      <c r="L222" s="1"/>
      <c r="M222" s="1"/>
      <c r="N222" s="1"/>
      <c r="T222" s="1"/>
      <c r="U222" s="1"/>
      <c r="V222" s="1"/>
      <c r="W222" s="1"/>
      <c r="X222" s="1"/>
      <c r="Y222" s="1"/>
      <c r="Z222" s="1"/>
      <c r="AA222" s="1"/>
    </row>
    <row r="223" spans="1:27" ht="14" x14ac:dyDescent="0.15">
      <c r="A223" s="9">
        <v>222</v>
      </c>
      <c r="B223" s="9" t="s">
        <v>240</v>
      </c>
      <c r="C223" s="9" t="s">
        <v>23</v>
      </c>
      <c r="D223" s="10">
        <v>308.56</v>
      </c>
      <c r="E223" s="10">
        <v>308.56</v>
      </c>
      <c r="F223" s="10">
        <v>2.4</v>
      </c>
      <c r="G223" s="9">
        <f t="shared" si="11"/>
        <v>68.511329999999987</v>
      </c>
      <c r="H223" s="13" t="s">
        <v>119</v>
      </c>
      <c r="I223" s="12"/>
      <c r="K223">
        <f t="shared" si="12"/>
        <v>308.56</v>
      </c>
      <c r="L223" s="1"/>
      <c r="M223" s="1"/>
      <c r="N223" s="1"/>
      <c r="T223" s="1"/>
      <c r="U223" s="1"/>
      <c r="V223" s="1"/>
      <c r="W223" s="1"/>
      <c r="X223" s="1"/>
      <c r="Y223" s="1"/>
      <c r="Z223" s="1"/>
      <c r="AA223" s="1"/>
    </row>
    <row r="224" spans="1:27" ht="14" x14ac:dyDescent="0.15">
      <c r="A224" s="9">
        <v>223</v>
      </c>
      <c r="B224" s="9" t="s">
        <v>241</v>
      </c>
      <c r="C224" s="9" t="s">
        <v>23</v>
      </c>
      <c r="D224" s="10">
        <v>333.08</v>
      </c>
      <c r="E224" s="10">
        <v>333.08</v>
      </c>
      <c r="F224" s="10">
        <v>0.27</v>
      </c>
      <c r="G224" s="9">
        <f t="shared" si="11"/>
        <v>68.844409999999982</v>
      </c>
      <c r="H224" s="13" t="s">
        <v>119</v>
      </c>
      <c r="I224" s="12"/>
      <c r="K224">
        <f t="shared" si="12"/>
        <v>333.08</v>
      </c>
      <c r="L224" s="1"/>
      <c r="M224" s="1"/>
      <c r="N224" s="1"/>
      <c r="T224" s="1"/>
      <c r="U224" s="1"/>
      <c r="V224" s="1"/>
      <c r="W224" s="1"/>
      <c r="X224" s="1"/>
      <c r="Y224" s="1"/>
      <c r="Z224" s="1"/>
      <c r="AA224" s="1"/>
    </row>
    <row r="225" spans="1:27" ht="14" x14ac:dyDescent="0.15">
      <c r="A225" s="9">
        <v>224</v>
      </c>
      <c r="B225" s="9" t="s">
        <v>242</v>
      </c>
      <c r="C225" s="9" t="s">
        <v>23</v>
      </c>
      <c r="D225" s="10">
        <v>275.52999999999997</v>
      </c>
      <c r="E225" s="10">
        <v>275.52999999999997</v>
      </c>
      <c r="F225" s="10">
        <v>1.22</v>
      </c>
      <c r="G225" s="9">
        <f t="shared" si="11"/>
        <v>69.119939999999986</v>
      </c>
      <c r="H225" s="13" t="s">
        <v>119</v>
      </c>
      <c r="I225" s="12"/>
      <c r="K225">
        <f t="shared" si="12"/>
        <v>275.52999999999997</v>
      </c>
      <c r="L225" s="1"/>
      <c r="M225" s="1"/>
      <c r="N225" s="1"/>
      <c r="T225" s="1"/>
      <c r="U225" s="1"/>
      <c r="V225" s="1"/>
      <c r="W225" s="1"/>
      <c r="X225" s="1"/>
      <c r="Y225" s="1"/>
      <c r="Z225" s="1"/>
      <c r="AA225" s="1"/>
    </row>
    <row r="226" spans="1:27" ht="14" x14ac:dyDescent="0.15">
      <c r="A226" s="9">
        <v>225</v>
      </c>
      <c r="B226" s="9" t="s">
        <v>243</v>
      </c>
      <c r="C226" s="9" t="s">
        <v>23</v>
      </c>
      <c r="D226" s="10">
        <v>327.56</v>
      </c>
      <c r="E226" s="10">
        <v>327.56</v>
      </c>
      <c r="F226" s="10">
        <v>1.96</v>
      </c>
      <c r="G226" s="9">
        <f t="shared" si="11"/>
        <v>69.447499999999991</v>
      </c>
      <c r="H226" s="13" t="s">
        <v>119</v>
      </c>
      <c r="I226" s="12"/>
      <c r="K226">
        <f t="shared" si="12"/>
        <v>327.56</v>
      </c>
      <c r="L226" s="1"/>
      <c r="M226" s="1"/>
      <c r="N226" s="1"/>
      <c r="T226" s="1"/>
      <c r="U226" s="1"/>
      <c r="V226" s="1"/>
      <c r="W226" s="1"/>
      <c r="X226" s="1"/>
      <c r="Y226" s="1"/>
      <c r="Z226" s="1"/>
      <c r="AA226" s="1"/>
    </row>
    <row r="227" spans="1:27" ht="14" x14ac:dyDescent="0.15">
      <c r="A227" s="9">
        <v>226</v>
      </c>
      <c r="B227" s="9" t="s">
        <v>244</v>
      </c>
      <c r="C227" s="9" t="s">
        <v>19</v>
      </c>
      <c r="D227" s="10">
        <v>294.95</v>
      </c>
      <c r="E227" s="10">
        <v>303.45</v>
      </c>
      <c r="F227" s="10">
        <v>54.82</v>
      </c>
      <c r="G227" s="9">
        <f t="shared" si="11"/>
        <v>69.750949999999989</v>
      </c>
      <c r="H227" s="13" t="s">
        <v>119</v>
      </c>
      <c r="I227" s="12"/>
      <c r="J227" s="7">
        <f>D227+8.5</f>
        <v>303.45</v>
      </c>
      <c r="K227">
        <f t="shared" si="12"/>
        <v>303.45</v>
      </c>
      <c r="L227" s="1"/>
      <c r="M227" s="1"/>
      <c r="N227" s="1"/>
      <c r="T227" s="1"/>
      <c r="U227" s="1"/>
      <c r="V227" s="1"/>
      <c r="W227" s="1"/>
      <c r="X227" s="1"/>
      <c r="Y227" s="1"/>
      <c r="Z227" s="1"/>
      <c r="AA227" s="1"/>
    </row>
    <row r="228" spans="1:27" ht="42" x14ac:dyDescent="0.15">
      <c r="A228" s="9">
        <v>227</v>
      </c>
      <c r="B228" s="9" t="s">
        <v>245</v>
      </c>
      <c r="C228" s="9" t="s">
        <v>23</v>
      </c>
      <c r="D228" s="10">
        <v>285.27999999999997</v>
      </c>
      <c r="E228" s="10">
        <v>285.27999999999997</v>
      </c>
      <c r="F228" s="10">
        <v>0.38</v>
      </c>
      <c r="G228" s="9">
        <f t="shared" si="11"/>
        <v>70.036229999999989</v>
      </c>
      <c r="H228" s="13" t="s">
        <v>246</v>
      </c>
      <c r="I228" s="12" t="s">
        <v>247</v>
      </c>
      <c r="K228">
        <f t="shared" si="12"/>
        <v>285.27999999999997</v>
      </c>
      <c r="L228" s="1"/>
      <c r="M228" s="1"/>
      <c r="N228" s="1"/>
      <c r="T228" s="1"/>
      <c r="U228" s="1"/>
      <c r="V228" s="1"/>
      <c r="W228" s="1"/>
      <c r="X228" s="1"/>
      <c r="Y228" s="1"/>
      <c r="Z228" s="1"/>
      <c r="AA228" s="1"/>
    </row>
    <row r="229" spans="1:27" ht="14" x14ac:dyDescent="0.15">
      <c r="A229" s="9">
        <v>228</v>
      </c>
      <c r="B229" s="9" t="s">
        <v>248</v>
      </c>
      <c r="C229" s="9" t="s">
        <v>23</v>
      </c>
      <c r="D229" s="10">
        <v>316.86</v>
      </c>
      <c r="E229" s="10">
        <v>316.86</v>
      </c>
      <c r="F229" s="10">
        <v>0.11</v>
      </c>
      <c r="G229" s="9">
        <f t="shared" si="11"/>
        <v>70.353089999999995</v>
      </c>
      <c r="H229" s="13" t="s">
        <v>246</v>
      </c>
      <c r="I229" s="12"/>
      <c r="K229">
        <f t="shared" si="12"/>
        <v>316.86</v>
      </c>
      <c r="L229" s="1"/>
      <c r="M229" s="1"/>
      <c r="N229" s="1"/>
      <c r="T229" s="1"/>
      <c r="U229" s="1"/>
      <c r="V229" s="1"/>
      <c r="W229" s="1"/>
      <c r="X229" s="1"/>
      <c r="Y229" s="1"/>
      <c r="Z229" s="1"/>
      <c r="AA229" s="1"/>
    </row>
    <row r="230" spans="1:27" ht="14" x14ac:dyDescent="0.15">
      <c r="A230" s="9">
        <v>229</v>
      </c>
      <c r="B230" s="9" t="s">
        <v>249</v>
      </c>
      <c r="C230" s="9" t="s">
        <v>23</v>
      </c>
      <c r="D230" s="10">
        <v>291.81</v>
      </c>
      <c r="E230" s="10">
        <v>291.81</v>
      </c>
      <c r="F230" s="10">
        <v>0.89</v>
      </c>
      <c r="G230" s="9">
        <f t="shared" si="11"/>
        <v>70.644899999999993</v>
      </c>
      <c r="H230" s="13" t="s">
        <v>246</v>
      </c>
      <c r="I230" s="12"/>
      <c r="K230">
        <f t="shared" si="12"/>
        <v>291.81</v>
      </c>
      <c r="L230" s="1"/>
      <c r="M230" s="1"/>
      <c r="N230" s="1"/>
      <c r="T230" s="1"/>
      <c r="U230" s="1"/>
      <c r="V230" s="1"/>
      <c r="W230" s="1"/>
      <c r="X230" s="1"/>
      <c r="Y230" s="1"/>
      <c r="Z230" s="1"/>
      <c r="AA230" s="1"/>
    </row>
    <row r="231" spans="1:27" ht="14" x14ac:dyDescent="0.15">
      <c r="A231" s="9">
        <v>230</v>
      </c>
      <c r="B231" s="9" t="s">
        <v>250</v>
      </c>
      <c r="C231" s="9" t="s">
        <v>23</v>
      </c>
      <c r="D231" s="10">
        <v>341.62</v>
      </c>
      <c r="E231" s="10">
        <v>341.62</v>
      </c>
      <c r="F231" s="10">
        <v>0.64</v>
      </c>
      <c r="G231" s="9">
        <f t="shared" si="11"/>
        <v>70.986519999999999</v>
      </c>
      <c r="H231" s="13" t="s">
        <v>246</v>
      </c>
      <c r="I231" s="12"/>
      <c r="K231">
        <f t="shared" si="12"/>
        <v>341.62</v>
      </c>
      <c r="L231" s="1"/>
      <c r="M231" s="1"/>
      <c r="N231" s="1"/>
      <c r="T231" s="1"/>
      <c r="U231" s="1"/>
      <c r="V231" s="1"/>
      <c r="W231" s="1"/>
      <c r="X231" s="1"/>
      <c r="Y231" s="1"/>
      <c r="Z231" s="1"/>
      <c r="AA231" s="1"/>
    </row>
    <row r="232" spans="1:27" ht="14" x14ac:dyDescent="0.15">
      <c r="A232" s="9">
        <v>231</v>
      </c>
      <c r="B232" s="9" t="s">
        <v>251</v>
      </c>
      <c r="C232" s="9" t="s">
        <v>19</v>
      </c>
      <c r="D232" s="10">
        <v>222.22</v>
      </c>
      <c r="E232" s="10">
        <v>230.72</v>
      </c>
      <c r="F232" s="10">
        <v>49.8</v>
      </c>
      <c r="G232" s="9">
        <f t="shared" si="11"/>
        <v>71.217240000000004</v>
      </c>
      <c r="H232" s="13" t="s">
        <v>246</v>
      </c>
      <c r="I232" s="12"/>
      <c r="J232" s="7">
        <f t="shared" ref="J232:J233" si="14">D232+8.5</f>
        <v>230.72</v>
      </c>
      <c r="K232">
        <f t="shared" si="12"/>
        <v>230.72</v>
      </c>
      <c r="L232" s="1"/>
      <c r="M232" s="1"/>
      <c r="N232" s="1"/>
      <c r="T232" s="1"/>
      <c r="U232" s="1"/>
      <c r="V232" s="1"/>
      <c r="W232" s="1"/>
      <c r="X232" s="1"/>
      <c r="Y232" s="1"/>
      <c r="Z232" s="1"/>
      <c r="AA232" s="1"/>
    </row>
    <row r="233" spans="1:27" ht="14" x14ac:dyDescent="0.15">
      <c r="A233" s="9">
        <v>232</v>
      </c>
      <c r="B233" s="9" t="s">
        <v>252</v>
      </c>
      <c r="C233" s="9" t="s">
        <v>14</v>
      </c>
      <c r="D233" s="10">
        <v>184.84</v>
      </c>
      <c r="E233" s="10">
        <v>193.34</v>
      </c>
      <c r="F233" s="10">
        <v>59.99</v>
      </c>
      <c r="G233" s="9">
        <f t="shared" si="11"/>
        <v>71.41058000000001</v>
      </c>
      <c r="H233" s="13" t="s">
        <v>246</v>
      </c>
      <c r="I233" s="12"/>
      <c r="J233" s="7">
        <f t="shared" si="14"/>
        <v>193.34</v>
      </c>
      <c r="K233">
        <f t="shared" si="12"/>
        <v>193.34</v>
      </c>
      <c r="L233" s="1"/>
      <c r="M233" s="1"/>
      <c r="N233" s="1"/>
      <c r="T233" s="1"/>
      <c r="U233" s="1"/>
      <c r="V233" s="1"/>
      <c r="W233" s="1"/>
      <c r="X233" s="1"/>
      <c r="Y233" s="1"/>
      <c r="Z233" s="1"/>
      <c r="AA233" s="1"/>
    </row>
    <row r="234" spans="1:27" ht="14" x14ac:dyDescent="0.15">
      <c r="A234" s="9">
        <v>233</v>
      </c>
      <c r="B234" s="9" t="s">
        <v>253</v>
      </c>
      <c r="C234" s="9" t="s">
        <v>16</v>
      </c>
      <c r="D234" s="10">
        <v>223.68</v>
      </c>
      <c r="E234" s="10">
        <v>223.68</v>
      </c>
      <c r="F234" s="10">
        <v>0.41</v>
      </c>
      <c r="G234" s="9">
        <f t="shared" si="11"/>
        <v>71.634260000000012</v>
      </c>
      <c r="H234" s="13" t="s">
        <v>246</v>
      </c>
      <c r="I234" s="12"/>
      <c r="K234">
        <f t="shared" si="12"/>
        <v>223.68</v>
      </c>
      <c r="L234" s="1"/>
      <c r="M234" s="1"/>
      <c r="N234" s="1"/>
      <c r="T234" s="1"/>
      <c r="U234" s="1"/>
      <c r="V234" s="1"/>
      <c r="W234" s="1"/>
      <c r="X234" s="1"/>
      <c r="Y234" s="1"/>
      <c r="Z234" s="1"/>
      <c r="AA234" s="1"/>
    </row>
    <row r="235" spans="1:27" ht="14" x14ac:dyDescent="0.15">
      <c r="A235" s="9">
        <v>234</v>
      </c>
      <c r="B235" s="9" t="s">
        <v>254</v>
      </c>
      <c r="C235" s="9" t="s">
        <v>19</v>
      </c>
      <c r="D235" s="10">
        <v>215.23</v>
      </c>
      <c r="E235" s="10">
        <v>223.73</v>
      </c>
      <c r="F235" s="10">
        <v>25.05</v>
      </c>
      <c r="G235" s="9">
        <f t="shared" si="11"/>
        <v>71.857990000000015</v>
      </c>
      <c r="H235" s="13" t="s">
        <v>246</v>
      </c>
      <c r="I235" s="12"/>
      <c r="J235" s="7">
        <f>D235+8.5</f>
        <v>223.73</v>
      </c>
      <c r="K235">
        <f t="shared" si="12"/>
        <v>223.73</v>
      </c>
      <c r="L235" s="1"/>
      <c r="M235" s="1"/>
      <c r="N235" s="1"/>
      <c r="T235" s="1"/>
      <c r="U235" s="1"/>
      <c r="V235" s="1"/>
      <c r="W235" s="1"/>
      <c r="X235" s="1"/>
      <c r="Y235" s="1"/>
      <c r="Z235" s="1"/>
      <c r="AA235" s="1"/>
    </row>
    <row r="236" spans="1:27" ht="14" x14ac:dyDescent="0.15">
      <c r="A236" s="9">
        <v>235</v>
      </c>
      <c r="B236" s="9" t="s">
        <v>255</v>
      </c>
      <c r="C236" s="9" t="s">
        <v>16</v>
      </c>
      <c r="D236" s="10">
        <v>149.01</v>
      </c>
      <c r="E236" s="10">
        <v>149.01</v>
      </c>
      <c r="F236" s="10">
        <v>5.13</v>
      </c>
      <c r="G236" s="9">
        <f t="shared" si="11"/>
        <v>72.007000000000019</v>
      </c>
      <c r="H236" s="13" t="s">
        <v>246</v>
      </c>
      <c r="I236" s="12"/>
      <c r="K236">
        <f t="shared" si="12"/>
        <v>149.01</v>
      </c>
      <c r="L236" s="1"/>
      <c r="M236" s="1"/>
      <c r="N236" s="1"/>
      <c r="T236" s="1"/>
      <c r="U236" s="1"/>
      <c r="V236" s="1"/>
      <c r="W236" s="1"/>
      <c r="X236" s="1"/>
      <c r="Y236" s="1"/>
      <c r="Z236" s="1"/>
      <c r="AA236" s="1"/>
    </row>
    <row r="237" spans="1:27" ht="14" x14ac:dyDescent="0.15">
      <c r="A237" s="9">
        <v>236</v>
      </c>
      <c r="B237" s="9" t="s">
        <v>256</v>
      </c>
      <c r="C237" s="9" t="s">
        <v>19</v>
      </c>
      <c r="D237" s="10">
        <v>344.75</v>
      </c>
      <c r="E237" s="10">
        <v>353.25</v>
      </c>
      <c r="F237" s="10">
        <v>22.14</v>
      </c>
      <c r="G237" s="9">
        <f t="shared" si="11"/>
        <v>72.360250000000022</v>
      </c>
      <c r="H237" s="13" t="s">
        <v>246</v>
      </c>
      <c r="I237" s="12"/>
      <c r="J237" s="7">
        <f t="shared" ref="J237:J242" si="15">D237+8.5</f>
        <v>353.25</v>
      </c>
      <c r="K237">
        <f t="shared" si="12"/>
        <v>353.25</v>
      </c>
      <c r="L237" s="1"/>
      <c r="M237" s="1"/>
      <c r="N237" s="1"/>
      <c r="T237" s="1"/>
      <c r="U237" s="1"/>
      <c r="V237" s="1"/>
      <c r="W237" s="1"/>
      <c r="X237" s="1"/>
      <c r="Y237" s="1"/>
      <c r="Z237" s="1"/>
      <c r="AA237" s="1"/>
    </row>
    <row r="238" spans="1:27" ht="14" x14ac:dyDescent="0.15">
      <c r="A238" s="9">
        <v>237</v>
      </c>
      <c r="B238" s="9" t="s">
        <v>257</v>
      </c>
      <c r="C238" s="9" t="s">
        <v>28</v>
      </c>
      <c r="D238" s="10">
        <v>16.38</v>
      </c>
      <c r="E238" s="10">
        <v>24.88</v>
      </c>
      <c r="F238" s="10">
        <v>15.43</v>
      </c>
      <c r="G238" s="9">
        <f t="shared" si="11"/>
        <v>72.385130000000018</v>
      </c>
      <c r="H238" s="13" t="s">
        <v>246</v>
      </c>
      <c r="I238" s="12"/>
      <c r="J238" s="7">
        <f t="shared" si="15"/>
        <v>24.88</v>
      </c>
      <c r="K238">
        <f t="shared" si="12"/>
        <v>24.88</v>
      </c>
      <c r="L238" s="1"/>
      <c r="M238" s="1"/>
      <c r="N238" s="1"/>
      <c r="T238" s="1"/>
      <c r="U238" s="1"/>
      <c r="V238" s="1"/>
      <c r="W238" s="1"/>
      <c r="X238" s="1"/>
      <c r="Y238" s="1"/>
      <c r="Z238" s="1"/>
      <c r="AA238" s="1"/>
    </row>
    <row r="239" spans="1:27" x14ac:dyDescent="0.15">
      <c r="A239" s="9">
        <v>238</v>
      </c>
      <c r="B239" s="9" t="s">
        <v>258</v>
      </c>
      <c r="C239" s="9" t="s">
        <v>14</v>
      </c>
      <c r="D239" s="10">
        <v>87.9</v>
      </c>
      <c r="E239" s="10">
        <v>96.4</v>
      </c>
      <c r="F239" s="10">
        <v>65.900000000000006</v>
      </c>
      <c r="G239" s="9">
        <f t="shared" si="11"/>
        <v>72.481530000000021</v>
      </c>
      <c r="H239" s="13"/>
      <c r="I239" s="12"/>
      <c r="J239" s="7">
        <f t="shared" si="15"/>
        <v>96.4</v>
      </c>
      <c r="K239">
        <f t="shared" si="12"/>
        <v>96.4</v>
      </c>
      <c r="L239" s="1"/>
      <c r="M239" s="1"/>
      <c r="N239" s="1"/>
      <c r="T239" s="1"/>
      <c r="U239" s="1"/>
      <c r="V239" s="1"/>
      <c r="W239" s="1"/>
      <c r="X239" s="1"/>
      <c r="Y239" s="1"/>
      <c r="Z239" s="1"/>
      <c r="AA239" s="1"/>
    </row>
    <row r="240" spans="1:27" x14ac:dyDescent="0.15">
      <c r="A240" s="9">
        <v>239</v>
      </c>
      <c r="B240" s="9" t="s">
        <v>259</v>
      </c>
      <c r="C240" s="9" t="s">
        <v>14</v>
      </c>
      <c r="D240" s="10">
        <v>302.85000000000002</v>
      </c>
      <c r="E240" s="10">
        <v>311.35000000000002</v>
      </c>
      <c r="F240" s="10">
        <v>83.84</v>
      </c>
      <c r="G240" s="9">
        <f t="shared" si="11"/>
        <v>72.792880000000025</v>
      </c>
      <c r="H240" s="13"/>
      <c r="I240" s="12"/>
      <c r="J240" s="7">
        <f t="shared" si="15"/>
        <v>311.35000000000002</v>
      </c>
      <c r="K240">
        <f t="shared" si="12"/>
        <v>311.35000000000002</v>
      </c>
      <c r="L240" s="1"/>
      <c r="M240" s="1"/>
      <c r="N240" s="1"/>
      <c r="T240" s="1"/>
      <c r="U240" s="1"/>
      <c r="V240" s="1"/>
      <c r="W240" s="1"/>
      <c r="X240" s="1"/>
      <c r="Y240" s="1"/>
      <c r="Z240" s="1"/>
      <c r="AA240" s="1"/>
    </row>
    <row r="241" spans="1:27" ht="14" x14ac:dyDescent="0.15">
      <c r="A241" s="9">
        <v>240</v>
      </c>
      <c r="B241" s="9" t="s">
        <v>260</v>
      </c>
      <c r="C241" s="9" t="s">
        <v>14</v>
      </c>
      <c r="D241" s="10">
        <v>327.41000000000003</v>
      </c>
      <c r="E241" s="10">
        <v>335.91</v>
      </c>
      <c r="F241" s="10">
        <v>15.53</v>
      </c>
      <c r="G241" s="9">
        <f t="shared" si="11"/>
        <v>73.128790000000023</v>
      </c>
      <c r="H241" s="13" t="s">
        <v>246</v>
      </c>
      <c r="I241" s="12"/>
      <c r="J241" s="7">
        <f t="shared" si="15"/>
        <v>335.91</v>
      </c>
      <c r="K241">
        <f t="shared" si="12"/>
        <v>335.91</v>
      </c>
      <c r="L241" s="1"/>
      <c r="M241" s="1"/>
      <c r="N241" s="1"/>
      <c r="T241" s="1"/>
      <c r="U241" s="1"/>
      <c r="V241" s="1"/>
      <c r="W241" s="1"/>
      <c r="X241" s="1"/>
      <c r="Y241" s="1"/>
      <c r="Z241" s="1"/>
      <c r="AA241" s="1"/>
    </row>
    <row r="242" spans="1:27" ht="14" x14ac:dyDescent="0.15">
      <c r="A242" s="9">
        <v>241</v>
      </c>
      <c r="B242" s="9" t="s">
        <v>261</v>
      </c>
      <c r="C242" s="9" t="s">
        <v>19</v>
      </c>
      <c r="D242" s="10">
        <v>276.67</v>
      </c>
      <c r="E242" s="10">
        <v>285.17</v>
      </c>
      <c r="F242" s="10">
        <v>30.7</v>
      </c>
      <c r="G242" s="9">
        <f t="shared" si="11"/>
        <v>73.413960000000017</v>
      </c>
      <c r="H242" s="13" t="s">
        <v>246</v>
      </c>
      <c r="I242" s="12"/>
      <c r="J242" s="7">
        <f t="shared" si="15"/>
        <v>285.17</v>
      </c>
      <c r="K242">
        <f t="shared" si="12"/>
        <v>285.17</v>
      </c>
      <c r="L242" s="1"/>
      <c r="M242" s="1"/>
      <c r="N242" s="1"/>
      <c r="T242" s="1"/>
      <c r="U242" s="1"/>
      <c r="V242" s="1"/>
      <c r="W242" s="1"/>
      <c r="X242" s="1"/>
      <c r="Y242" s="1"/>
      <c r="Z242" s="1"/>
      <c r="AA242" s="1"/>
    </row>
    <row r="243" spans="1:27" ht="14" x14ac:dyDescent="0.15">
      <c r="A243" s="9">
        <v>242</v>
      </c>
      <c r="B243" s="9" t="s">
        <v>262</v>
      </c>
      <c r="C243" s="9" t="s">
        <v>23</v>
      </c>
      <c r="D243" s="10">
        <v>344.19</v>
      </c>
      <c r="E243" s="10">
        <v>344.19</v>
      </c>
      <c r="F243" s="10">
        <v>0.28999999999999998</v>
      </c>
      <c r="G243" s="9">
        <f t="shared" si="11"/>
        <v>73.758150000000015</v>
      </c>
      <c r="H243" s="13" t="s">
        <v>246</v>
      </c>
      <c r="I243" s="12"/>
      <c r="K243">
        <f t="shared" si="12"/>
        <v>344.19</v>
      </c>
      <c r="L243" s="1"/>
      <c r="M243" s="1"/>
      <c r="N243" s="1"/>
      <c r="T243" s="1"/>
      <c r="U243" s="1"/>
      <c r="V243" s="1"/>
      <c r="W243" s="1"/>
      <c r="X243" s="1"/>
      <c r="Y243" s="1"/>
      <c r="Z243" s="1"/>
      <c r="AA243" s="1"/>
    </row>
    <row r="244" spans="1:27" ht="14" x14ac:dyDescent="0.15">
      <c r="A244" s="9">
        <v>243</v>
      </c>
      <c r="B244" s="9" t="s">
        <v>263</v>
      </c>
      <c r="C244" s="9" t="s">
        <v>23</v>
      </c>
      <c r="D244" s="10">
        <v>301.66000000000003</v>
      </c>
      <c r="E244" s="10">
        <v>301.66000000000003</v>
      </c>
      <c r="F244" s="10">
        <v>0.14000000000000001</v>
      </c>
      <c r="G244" s="9">
        <f t="shared" si="11"/>
        <v>74.059810000000013</v>
      </c>
      <c r="H244" s="13" t="s">
        <v>246</v>
      </c>
      <c r="I244" s="12"/>
      <c r="K244">
        <f t="shared" si="12"/>
        <v>301.66000000000003</v>
      </c>
      <c r="L244" s="1"/>
      <c r="M244" s="1"/>
      <c r="N244" s="1"/>
      <c r="T244" s="1"/>
      <c r="U244" s="1"/>
      <c r="V244" s="1"/>
      <c r="W244" s="1"/>
      <c r="X244" s="1"/>
      <c r="Y244" s="1"/>
      <c r="Z244" s="1"/>
      <c r="AA244" s="1"/>
    </row>
    <row r="245" spans="1:27" ht="14" x14ac:dyDescent="0.15">
      <c r="A245" s="9">
        <v>244</v>
      </c>
      <c r="B245" s="9" t="s">
        <v>264</v>
      </c>
      <c r="C245" s="9" t="s">
        <v>23</v>
      </c>
      <c r="D245" s="10">
        <v>300.38</v>
      </c>
      <c r="E245" s="10">
        <v>300.38</v>
      </c>
      <c r="F245" s="10">
        <v>0.13</v>
      </c>
      <c r="G245" s="9">
        <f t="shared" si="11"/>
        <v>74.360190000000017</v>
      </c>
      <c r="H245" s="13" t="s">
        <v>246</v>
      </c>
      <c r="I245" s="12"/>
      <c r="K245">
        <f t="shared" si="12"/>
        <v>300.38</v>
      </c>
      <c r="L245" s="1"/>
      <c r="M245" s="1"/>
      <c r="N245" s="1"/>
      <c r="T245" s="1"/>
      <c r="U245" s="1"/>
      <c r="V245" s="1"/>
      <c r="W245" s="1"/>
      <c r="X245" s="1"/>
      <c r="Y245" s="1"/>
      <c r="Z245" s="1"/>
      <c r="AA245" s="1"/>
    </row>
    <row r="246" spans="1:27" ht="14" x14ac:dyDescent="0.15">
      <c r="A246" s="9">
        <v>245</v>
      </c>
      <c r="B246" s="9" t="s">
        <v>265</v>
      </c>
      <c r="C246" s="9" t="s">
        <v>23</v>
      </c>
      <c r="D246" s="10">
        <v>364.66</v>
      </c>
      <c r="E246" s="10">
        <v>364.66</v>
      </c>
      <c r="F246" s="10">
        <v>0.02</v>
      </c>
      <c r="G246" s="9">
        <f t="shared" si="11"/>
        <v>74.724850000000018</v>
      </c>
      <c r="H246" s="13" t="s">
        <v>246</v>
      </c>
      <c r="I246" s="12"/>
      <c r="K246">
        <f t="shared" si="12"/>
        <v>364.66</v>
      </c>
      <c r="L246" s="1"/>
      <c r="M246" s="1"/>
      <c r="N246" s="1"/>
      <c r="T246" s="1"/>
      <c r="U246" s="1"/>
      <c r="V246" s="1"/>
      <c r="W246" s="1"/>
      <c r="X246" s="1"/>
      <c r="Y246" s="1"/>
      <c r="Z246" s="1"/>
      <c r="AA246" s="1"/>
    </row>
    <row r="247" spans="1:27" ht="14" x14ac:dyDescent="0.15">
      <c r="A247" s="9">
        <v>246</v>
      </c>
      <c r="B247" s="9" t="s">
        <v>266</v>
      </c>
      <c r="C247" s="9" t="s">
        <v>23</v>
      </c>
      <c r="D247" s="10">
        <v>344.54</v>
      </c>
      <c r="E247" s="10">
        <v>344.54</v>
      </c>
      <c r="F247" s="10">
        <v>0.11</v>
      </c>
      <c r="G247" s="9">
        <f t="shared" si="11"/>
        <v>75.069390000000013</v>
      </c>
      <c r="H247" s="13" t="s">
        <v>246</v>
      </c>
      <c r="I247" s="12"/>
      <c r="K247">
        <f t="shared" si="12"/>
        <v>344.54</v>
      </c>
      <c r="L247" s="1"/>
      <c r="M247" s="1"/>
      <c r="N247" s="1"/>
      <c r="T247" s="1"/>
      <c r="U247" s="1"/>
      <c r="V247" s="1"/>
      <c r="W247" s="1"/>
      <c r="X247" s="1"/>
      <c r="Y247" s="1"/>
      <c r="Z247" s="1"/>
      <c r="AA247" s="1"/>
    </row>
    <row r="248" spans="1:27" ht="14" x14ac:dyDescent="0.15">
      <c r="A248" s="9">
        <v>247</v>
      </c>
      <c r="B248" s="9" t="s">
        <v>267</v>
      </c>
      <c r="C248" s="9" t="s">
        <v>23</v>
      </c>
      <c r="D248" s="10">
        <v>360.49</v>
      </c>
      <c r="E248" s="10">
        <v>360.49</v>
      </c>
      <c r="F248" s="10">
        <v>0.01</v>
      </c>
      <c r="G248" s="9">
        <f t="shared" si="11"/>
        <v>75.429880000000011</v>
      </c>
      <c r="H248" s="13" t="s">
        <v>246</v>
      </c>
      <c r="I248" s="12"/>
      <c r="K248">
        <f t="shared" si="12"/>
        <v>360.49</v>
      </c>
      <c r="L248" s="1"/>
      <c r="M248" s="1"/>
      <c r="N248" s="1"/>
      <c r="T248" s="1"/>
      <c r="U248" s="1"/>
      <c r="V248" s="1"/>
      <c r="W248" s="1"/>
      <c r="X248" s="1"/>
      <c r="Y248" s="1"/>
      <c r="Z248" s="1"/>
      <c r="AA248" s="1"/>
    </row>
    <row r="249" spans="1:27" ht="14" x14ac:dyDescent="0.15">
      <c r="A249" s="9">
        <v>248</v>
      </c>
      <c r="B249" s="9" t="s">
        <v>268</v>
      </c>
      <c r="C249" s="9" t="s">
        <v>23</v>
      </c>
      <c r="D249" s="10">
        <v>319.3</v>
      </c>
      <c r="E249" s="10">
        <v>319.3</v>
      </c>
      <c r="F249" s="10">
        <v>0.12</v>
      </c>
      <c r="G249" s="9">
        <f t="shared" si="11"/>
        <v>75.74918000000001</v>
      </c>
      <c r="H249" s="13" t="s">
        <v>246</v>
      </c>
      <c r="I249" s="12"/>
      <c r="K249">
        <f t="shared" si="12"/>
        <v>319.3</v>
      </c>
      <c r="L249" s="1"/>
      <c r="M249" s="1"/>
      <c r="N249" s="1"/>
      <c r="T249" s="1"/>
      <c r="U249" s="1"/>
      <c r="V249" s="1"/>
      <c r="W249" s="1"/>
      <c r="X249" s="1"/>
      <c r="Y249" s="1"/>
      <c r="Z249" s="1"/>
      <c r="AA249" s="1"/>
    </row>
    <row r="250" spans="1:27" ht="14" x14ac:dyDescent="0.15">
      <c r="A250" s="9">
        <v>249</v>
      </c>
      <c r="B250" s="9" t="s">
        <v>269</v>
      </c>
      <c r="C250" s="9" t="s">
        <v>23</v>
      </c>
      <c r="D250" s="10">
        <v>379.37</v>
      </c>
      <c r="E250" s="10">
        <v>379.37</v>
      </c>
      <c r="F250" s="10">
        <v>0.26</v>
      </c>
      <c r="G250" s="9">
        <f t="shared" si="11"/>
        <v>76.128550000000004</v>
      </c>
      <c r="H250" s="13" t="s">
        <v>246</v>
      </c>
      <c r="I250" s="12"/>
      <c r="K250">
        <f t="shared" si="12"/>
        <v>379.37</v>
      </c>
      <c r="L250" s="1"/>
      <c r="M250" s="1"/>
      <c r="N250" s="1"/>
      <c r="T250" s="1"/>
      <c r="U250" s="1"/>
      <c r="V250" s="1"/>
      <c r="W250" s="1"/>
      <c r="X250" s="1"/>
      <c r="Y250" s="1"/>
      <c r="Z250" s="1"/>
      <c r="AA250" s="1"/>
    </row>
    <row r="251" spans="1:27" ht="14" x14ac:dyDescent="0.15">
      <c r="A251" s="9">
        <v>250</v>
      </c>
      <c r="B251" s="9" t="s">
        <v>270</v>
      </c>
      <c r="C251" s="9" t="s">
        <v>23</v>
      </c>
      <c r="D251" s="10">
        <v>310.2</v>
      </c>
      <c r="E251" s="10">
        <v>310.2</v>
      </c>
      <c r="F251" s="10">
        <v>0.11</v>
      </c>
      <c r="G251" s="9">
        <f t="shared" si="11"/>
        <v>76.438749999999999</v>
      </c>
      <c r="H251" s="13" t="s">
        <v>246</v>
      </c>
      <c r="I251" s="12"/>
      <c r="K251">
        <f t="shared" si="12"/>
        <v>310.2</v>
      </c>
      <c r="L251" s="1"/>
      <c r="M251" s="1"/>
      <c r="N251" s="1"/>
      <c r="T251" s="1"/>
      <c r="U251" s="1"/>
      <c r="V251" s="1"/>
      <c r="W251" s="1"/>
      <c r="X251" s="1"/>
      <c r="Y251" s="1"/>
      <c r="Z251" s="1"/>
      <c r="AA251" s="1"/>
    </row>
    <row r="252" spans="1:27" ht="14" x14ac:dyDescent="0.15">
      <c r="A252" s="9">
        <v>251</v>
      </c>
      <c r="B252" s="9" t="s">
        <v>271</v>
      </c>
      <c r="C252" s="9" t="s">
        <v>16</v>
      </c>
      <c r="D252" s="10">
        <v>306.38</v>
      </c>
      <c r="E252" s="10">
        <v>306.38</v>
      </c>
      <c r="F252" s="10">
        <v>9.5</v>
      </c>
      <c r="G252" s="9">
        <f t="shared" si="11"/>
        <v>76.745130000000003</v>
      </c>
      <c r="H252" s="13" t="s">
        <v>246</v>
      </c>
      <c r="I252" s="12"/>
      <c r="K252">
        <f t="shared" si="12"/>
        <v>306.38</v>
      </c>
      <c r="L252" s="1"/>
      <c r="M252" s="1"/>
      <c r="N252" s="1"/>
      <c r="T252" s="1"/>
      <c r="U252" s="1"/>
      <c r="V252" s="1"/>
      <c r="W252" s="1"/>
      <c r="X252" s="1"/>
      <c r="Y252" s="1"/>
      <c r="Z252" s="1"/>
      <c r="AA252" s="1"/>
    </row>
    <row r="253" spans="1:27" ht="14" x14ac:dyDescent="0.15">
      <c r="A253" s="9">
        <v>252</v>
      </c>
      <c r="B253" s="9" t="s">
        <v>272</v>
      </c>
      <c r="C253" s="9" t="s">
        <v>23</v>
      </c>
      <c r="D253" s="10">
        <v>373.23</v>
      </c>
      <c r="E253" s="10">
        <v>373.23</v>
      </c>
      <c r="F253" s="10">
        <v>0.32</v>
      </c>
      <c r="G253" s="9">
        <f t="shared" si="11"/>
        <v>77.11836000000001</v>
      </c>
      <c r="H253" s="13" t="s">
        <v>246</v>
      </c>
      <c r="I253" s="12"/>
      <c r="K253">
        <f t="shared" si="12"/>
        <v>373.23</v>
      </c>
      <c r="L253" s="1"/>
      <c r="M253" s="1"/>
      <c r="N253" s="1"/>
      <c r="T253" s="1"/>
      <c r="U253" s="1"/>
      <c r="V253" s="1"/>
      <c r="W253" s="1"/>
      <c r="X253" s="1"/>
      <c r="Y253" s="1"/>
      <c r="Z253" s="1"/>
      <c r="AA253" s="1"/>
    </row>
    <row r="254" spans="1:27" ht="14" x14ac:dyDescent="0.15">
      <c r="A254" s="9">
        <v>253</v>
      </c>
      <c r="B254" s="9" t="s">
        <v>273</v>
      </c>
      <c r="C254" s="9" t="s">
        <v>23</v>
      </c>
      <c r="D254" s="10">
        <v>324.7</v>
      </c>
      <c r="E254" s="10">
        <v>324.7</v>
      </c>
      <c r="F254" s="10">
        <v>0.17</v>
      </c>
      <c r="G254" s="9">
        <f t="shared" si="11"/>
        <v>77.443060000000003</v>
      </c>
      <c r="H254" s="13" t="s">
        <v>246</v>
      </c>
      <c r="I254" s="12"/>
      <c r="K254">
        <f t="shared" si="12"/>
        <v>324.7</v>
      </c>
      <c r="L254" s="1"/>
      <c r="M254" s="1"/>
      <c r="N254" s="1"/>
      <c r="T254" s="1"/>
      <c r="U254" s="1"/>
      <c r="V254" s="1"/>
      <c r="W254" s="1"/>
      <c r="X254" s="1"/>
      <c r="Y254" s="1"/>
      <c r="Z254" s="1"/>
      <c r="AA254" s="1"/>
    </row>
    <row r="255" spans="1:27" ht="14" x14ac:dyDescent="0.15">
      <c r="A255" s="9">
        <v>254</v>
      </c>
      <c r="B255" s="9" t="s">
        <v>274</v>
      </c>
      <c r="C255" s="9" t="s">
        <v>23</v>
      </c>
      <c r="D255" s="10">
        <v>353.14</v>
      </c>
      <c r="E255" s="10">
        <v>353.14</v>
      </c>
      <c r="F255" s="10">
        <v>0.1</v>
      </c>
      <c r="G255" s="9">
        <f t="shared" si="11"/>
        <v>77.796199999999999</v>
      </c>
      <c r="H255" s="13" t="s">
        <v>246</v>
      </c>
      <c r="I255" s="12"/>
      <c r="K255">
        <f t="shared" si="12"/>
        <v>353.14</v>
      </c>
      <c r="L255" s="1"/>
      <c r="M255" s="1"/>
      <c r="N255" s="1"/>
      <c r="T255" s="1"/>
      <c r="U255" s="1"/>
      <c r="V255" s="1"/>
      <c r="W255" s="1"/>
      <c r="X255" s="1"/>
      <c r="Y255" s="1"/>
      <c r="Z255" s="1"/>
      <c r="AA255" s="1"/>
    </row>
    <row r="256" spans="1:27" ht="14" x14ac:dyDescent="0.15">
      <c r="A256" s="9">
        <v>255</v>
      </c>
      <c r="B256" s="9" t="s">
        <v>275</v>
      </c>
      <c r="C256" s="9" t="s">
        <v>23</v>
      </c>
      <c r="D256" s="10">
        <v>295.24</v>
      </c>
      <c r="E256" s="10">
        <v>295.24</v>
      </c>
      <c r="F256" s="10">
        <v>0.31</v>
      </c>
      <c r="G256" s="9">
        <f t="shared" si="11"/>
        <v>78.091440000000006</v>
      </c>
      <c r="H256" s="13" t="s">
        <v>246</v>
      </c>
      <c r="I256" s="12"/>
      <c r="K256">
        <f t="shared" si="12"/>
        <v>295.24</v>
      </c>
      <c r="L256" s="1"/>
      <c r="M256" s="1"/>
      <c r="N256" s="1"/>
      <c r="T256" s="1"/>
      <c r="U256" s="1"/>
      <c r="V256" s="1"/>
      <c r="W256" s="1"/>
      <c r="X256" s="1"/>
      <c r="Y256" s="1"/>
      <c r="Z256" s="1"/>
      <c r="AA256" s="1"/>
    </row>
    <row r="257" spans="1:27" ht="14" x14ac:dyDescent="0.15">
      <c r="A257" s="9">
        <v>256</v>
      </c>
      <c r="B257" s="9" t="s">
        <v>276</v>
      </c>
      <c r="C257" s="9" t="s">
        <v>23</v>
      </c>
      <c r="D257" s="10">
        <v>336.69</v>
      </c>
      <c r="E257" s="10">
        <v>336.69</v>
      </c>
      <c r="F257" s="10">
        <v>0.79</v>
      </c>
      <c r="G257" s="9">
        <f t="shared" si="11"/>
        <v>78.42813000000001</v>
      </c>
      <c r="H257" s="13" t="s">
        <v>246</v>
      </c>
      <c r="I257" s="12"/>
      <c r="K257">
        <f t="shared" si="12"/>
        <v>336.69</v>
      </c>
      <c r="L257" s="1"/>
      <c r="M257" s="1"/>
      <c r="N257" s="1"/>
      <c r="T257" s="1"/>
      <c r="U257" s="1"/>
      <c r="V257" s="1"/>
      <c r="W257" s="1"/>
      <c r="X257" s="1"/>
      <c r="Y257" s="1"/>
      <c r="Z257" s="1"/>
      <c r="AA257" s="1"/>
    </row>
    <row r="258" spans="1:27" ht="14" x14ac:dyDescent="0.15">
      <c r="A258" s="9">
        <v>257</v>
      </c>
      <c r="B258" s="9" t="s">
        <v>277</v>
      </c>
      <c r="C258" s="9" t="s">
        <v>23</v>
      </c>
      <c r="D258" s="10">
        <v>275.64</v>
      </c>
      <c r="E258" s="10">
        <v>275.64</v>
      </c>
      <c r="F258" s="10">
        <v>0.45</v>
      </c>
      <c r="G258" s="9">
        <f t="shared" si="11"/>
        <v>78.703770000000006</v>
      </c>
      <c r="H258" s="13" t="s">
        <v>246</v>
      </c>
      <c r="I258" s="12"/>
      <c r="K258">
        <f t="shared" si="12"/>
        <v>275.64</v>
      </c>
      <c r="L258" s="1"/>
      <c r="M258" s="1"/>
      <c r="N258" s="1"/>
      <c r="T258" s="1"/>
      <c r="U258" s="1"/>
      <c r="V258" s="1"/>
      <c r="W258" s="1"/>
      <c r="X258" s="1"/>
      <c r="Y258" s="1"/>
      <c r="Z258" s="1"/>
      <c r="AA258" s="1"/>
    </row>
    <row r="259" spans="1:27" ht="14" x14ac:dyDescent="0.15">
      <c r="A259" s="9">
        <v>258</v>
      </c>
      <c r="B259" s="9" t="s">
        <v>278</v>
      </c>
      <c r="C259" s="9" t="s">
        <v>23</v>
      </c>
      <c r="D259" s="10">
        <v>314.19</v>
      </c>
      <c r="E259" s="10">
        <v>314.19</v>
      </c>
      <c r="F259" s="10">
        <v>0.16</v>
      </c>
      <c r="G259" s="9">
        <f t="shared" si="11"/>
        <v>79.017960000000002</v>
      </c>
      <c r="H259" s="13" t="s">
        <v>246</v>
      </c>
      <c r="I259" s="12"/>
      <c r="K259">
        <f t="shared" si="12"/>
        <v>314.19</v>
      </c>
      <c r="L259" s="1"/>
      <c r="M259" s="1"/>
      <c r="N259" s="1"/>
      <c r="T259" s="1"/>
      <c r="U259" s="1"/>
      <c r="V259" s="1"/>
      <c r="W259" s="1"/>
      <c r="X259" s="1"/>
      <c r="Y259" s="1"/>
      <c r="Z259" s="1"/>
      <c r="AA259" s="1"/>
    </row>
    <row r="260" spans="1:27" ht="14" x14ac:dyDescent="0.15">
      <c r="A260" s="9">
        <v>259</v>
      </c>
      <c r="B260" s="9" t="s">
        <v>279</v>
      </c>
      <c r="C260" s="9" t="s">
        <v>19</v>
      </c>
      <c r="D260" s="10">
        <v>316.08</v>
      </c>
      <c r="E260" s="10">
        <v>324.58</v>
      </c>
      <c r="F260" s="10">
        <v>2.34</v>
      </c>
      <c r="G260" s="9">
        <f t="shared" ref="G260:G323" si="16">E260/1000+G259</f>
        <v>79.34254</v>
      </c>
      <c r="H260" s="13" t="s">
        <v>246</v>
      </c>
      <c r="I260" s="12"/>
      <c r="J260" s="7">
        <f>D260+8.5</f>
        <v>324.58</v>
      </c>
      <c r="K260">
        <f t="shared" ref="K260:K323" si="17">IF(J260&lt;&gt;"",J260,D260)</f>
        <v>324.58</v>
      </c>
      <c r="L260" s="1"/>
      <c r="M260" s="1"/>
      <c r="N260" s="1"/>
      <c r="T260" s="1"/>
      <c r="U260" s="1"/>
      <c r="V260" s="1"/>
      <c r="W260" s="1"/>
      <c r="X260" s="1"/>
      <c r="Y260" s="1"/>
      <c r="Z260" s="1"/>
      <c r="AA260" s="1"/>
    </row>
    <row r="261" spans="1:27" ht="14" x14ac:dyDescent="0.15">
      <c r="A261" s="9">
        <v>260</v>
      </c>
      <c r="B261" s="9" t="s">
        <v>280</v>
      </c>
      <c r="C261" s="9" t="s">
        <v>16</v>
      </c>
      <c r="D261" s="10">
        <v>360</v>
      </c>
      <c r="E261" s="10">
        <v>360</v>
      </c>
      <c r="F261" s="10">
        <v>0.34</v>
      </c>
      <c r="G261" s="9">
        <f t="shared" si="16"/>
        <v>79.702539999999999</v>
      </c>
      <c r="H261" s="13" t="s">
        <v>246</v>
      </c>
      <c r="I261" s="12"/>
      <c r="K261">
        <f t="shared" si="17"/>
        <v>360</v>
      </c>
      <c r="L261" s="1"/>
      <c r="M261" s="1"/>
      <c r="N261" s="1"/>
      <c r="T261" s="1"/>
      <c r="U261" s="1"/>
      <c r="V261" s="1"/>
      <c r="W261" s="1"/>
      <c r="X261" s="1"/>
      <c r="Y261" s="1"/>
      <c r="Z261" s="1"/>
      <c r="AA261" s="1"/>
    </row>
    <row r="262" spans="1:27" ht="14" x14ac:dyDescent="0.15">
      <c r="A262" s="9">
        <v>261</v>
      </c>
      <c r="B262" s="9" t="s">
        <v>281</v>
      </c>
      <c r="C262" s="9" t="s">
        <v>19</v>
      </c>
      <c r="D262" s="10">
        <v>294.44</v>
      </c>
      <c r="E262" s="10">
        <v>302.94</v>
      </c>
      <c r="F262" s="10">
        <v>0.59</v>
      </c>
      <c r="G262" s="9">
        <f t="shared" si="16"/>
        <v>80.005480000000006</v>
      </c>
      <c r="H262" s="13" t="s">
        <v>246</v>
      </c>
      <c r="I262" s="12"/>
      <c r="J262" s="7">
        <f>D262+8.5</f>
        <v>302.94</v>
      </c>
      <c r="K262">
        <f t="shared" si="17"/>
        <v>302.94</v>
      </c>
      <c r="L262" s="1"/>
      <c r="M262" s="1"/>
      <c r="N262" s="1"/>
      <c r="T262" s="1"/>
      <c r="U262" s="1"/>
      <c r="V262" s="1"/>
      <c r="W262" s="1"/>
      <c r="X262" s="1"/>
      <c r="Y262" s="1"/>
      <c r="Z262" s="1"/>
      <c r="AA262" s="1"/>
    </row>
    <row r="263" spans="1:27" ht="14" x14ac:dyDescent="0.15">
      <c r="A263" s="9">
        <v>262</v>
      </c>
      <c r="B263" s="9" t="s">
        <v>282</v>
      </c>
      <c r="C263" s="9" t="s">
        <v>16</v>
      </c>
      <c r="D263" s="10">
        <v>340.55</v>
      </c>
      <c r="E263" s="10">
        <v>340.55</v>
      </c>
      <c r="F263" s="10">
        <v>0.13</v>
      </c>
      <c r="G263" s="9">
        <f t="shared" si="16"/>
        <v>80.346029999999999</v>
      </c>
      <c r="H263" s="13" t="s">
        <v>246</v>
      </c>
      <c r="I263" s="12"/>
      <c r="K263">
        <f t="shared" si="17"/>
        <v>340.55</v>
      </c>
      <c r="L263" s="1"/>
      <c r="M263" s="1"/>
      <c r="N263" s="1"/>
      <c r="T263" s="1"/>
      <c r="U263" s="1"/>
      <c r="V263" s="1"/>
      <c r="W263" s="1"/>
      <c r="X263" s="1"/>
      <c r="Y263" s="1"/>
      <c r="Z263" s="1"/>
      <c r="AA263" s="1"/>
    </row>
    <row r="264" spans="1:27" ht="14" x14ac:dyDescent="0.15">
      <c r="A264" s="9">
        <v>263</v>
      </c>
      <c r="B264" s="9" t="s">
        <v>283</v>
      </c>
      <c r="C264" s="9" t="s">
        <v>19</v>
      </c>
      <c r="D264" s="10">
        <v>355.82</v>
      </c>
      <c r="E264" s="10">
        <v>364.32</v>
      </c>
      <c r="F264" s="10">
        <v>0.21</v>
      </c>
      <c r="G264" s="9">
        <f t="shared" si="16"/>
        <v>80.710350000000005</v>
      </c>
      <c r="H264" s="13" t="s">
        <v>246</v>
      </c>
      <c r="I264" s="12"/>
      <c r="J264" s="7">
        <f t="shared" ref="J264:J265" si="18">D264+8.5</f>
        <v>364.32</v>
      </c>
      <c r="K264">
        <f t="shared" si="17"/>
        <v>364.32</v>
      </c>
      <c r="L264" s="1"/>
      <c r="M264" s="1"/>
      <c r="N264" s="1"/>
      <c r="T264" s="1"/>
      <c r="U264" s="1"/>
      <c r="V264" s="1"/>
      <c r="W264" s="1"/>
      <c r="X264" s="1"/>
      <c r="Y264" s="1"/>
      <c r="Z264" s="1"/>
      <c r="AA264" s="1"/>
    </row>
    <row r="265" spans="1:27" ht="14" x14ac:dyDescent="0.15">
      <c r="A265" s="9">
        <v>264</v>
      </c>
      <c r="B265" s="9" t="s">
        <v>284</v>
      </c>
      <c r="C265" s="9" t="s">
        <v>28</v>
      </c>
      <c r="D265" s="10">
        <v>306.25</v>
      </c>
      <c r="E265" s="10">
        <v>314.75</v>
      </c>
      <c r="F265" s="10">
        <v>20.350000000000001</v>
      </c>
      <c r="G265" s="9">
        <f t="shared" si="16"/>
        <v>81.025100000000009</v>
      </c>
      <c r="H265" s="13" t="s">
        <v>246</v>
      </c>
      <c r="I265" s="12"/>
      <c r="J265" s="7">
        <f t="shared" si="18"/>
        <v>314.75</v>
      </c>
      <c r="K265">
        <f t="shared" si="17"/>
        <v>314.75</v>
      </c>
      <c r="L265" s="1"/>
      <c r="M265" s="1"/>
      <c r="N265" s="1"/>
      <c r="T265" s="1"/>
      <c r="U265" s="1"/>
      <c r="V265" s="1"/>
      <c r="W265" s="1"/>
      <c r="X265" s="1"/>
      <c r="Y265" s="1"/>
      <c r="Z265" s="1"/>
      <c r="AA265" s="1"/>
    </row>
    <row r="266" spans="1:27" ht="14" x14ac:dyDescent="0.15">
      <c r="A266" s="9">
        <v>265</v>
      </c>
      <c r="B266" s="9" t="s">
        <v>285</v>
      </c>
      <c r="C266" s="9" t="s">
        <v>23</v>
      </c>
      <c r="D266" s="10">
        <v>317.93</v>
      </c>
      <c r="E266" s="10">
        <v>317.93</v>
      </c>
      <c r="F266" s="10">
        <v>0.28999999999999998</v>
      </c>
      <c r="G266" s="9">
        <f t="shared" si="16"/>
        <v>81.343030000000013</v>
      </c>
      <c r="H266" s="13" t="s">
        <v>246</v>
      </c>
      <c r="I266" s="12"/>
      <c r="K266">
        <f t="shared" si="17"/>
        <v>317.93</v>
      </c>
      <c r="L266" s="1"/>
      <c r="M266" s="1"/>
      <c r="N266" s="1"/>
      <c r="T266" s="1"/>
      <c r="U266" s="1"/>
      <c r="V266" s="1"/>
      <c r="W266" s="1"/>
      <c r="X266" s="1"/>
      <c r="Y266" s="1"/>
      <c r="Z266" s="1"/>
      <c r="AA266" s="1"/>
    </row>
    <row r="267" spans="1:27" ht="14" x14ac:dyDescent="0.15">
      <c r="A267" s="9">
        <v>266</v>
      </c>
      <c r="B267" s="9" t="s">
        <v>286</v>
      </c>
      <c r="C267" s="9" t="s">
        <v>23</v>
      </c>
      <c r="D267" s="10">
        <v>302.82</v>
      </c>
      <c r="E267" s="10">
        <v>302.82</v>
      </c>
      <c r="F267" s="10">
        <v>0.3</v>
      </c>
      <c r="G267" s="9">
        <f t="shared" si="16"/>
        <v>81.64585000000001</v>
      </c>
      <c r="H267" s="13" t="s">
        <v>246</v>
      </c>
      <c r="I267" s="12"/>
      <c r="K267">
        <f t="shared" si="17"/>
        <v>302.82</v>
      </c>
      <c r="L267" s="1"/>
      <c r="M267" s="1"/>
      <c r="N267" s="1"/>
      <c r="T267" s="1"/>
      <c r="U267" s="1"/>
      <c r="V267" s="1"/>
      <c r="W267" s="1"/>
      <c r="X267" s="1"/>
      <c r="Y267" s="1"/>
      <c r="Z267" s="1"/>
      <c r="AA267" s="1"/>
    </row>
    <row r="268" spans="1:27" ht="14" x14ac:dyDescent="0.15">
      <c r="A268" s="9">
        <v>267</v>
      </c>
      <c r="B268" s="9" t="s">
        <v>287</v>
      </c>
      <c r="C268" s="9" t="s">
        <v>23</v>
      </c>
      <c r="D268" s="10">
        <v>304.14</v>
      </c>
      <c r="E268" s="10">
        <v>304.14</v>
      </c>
      <c r="F268" s="10">
        <v>0.3</v>
      </c>
      <c r="G268" s="9">
        <f t="shared" si="16"/>
        <v>81.949990000000014</v>
      </c>
      <c r="H268" s="13" t="s">
        <v>246</v>
      </c>
      <c r="I268" s="12"/>
      <c r="K268">
        <f t="shared" si="17"/>
        <v>304.14</v>
      </c>
      <c r="L268" s="1"/>
      <c r="M268" s="1"/>
      <c r="N268" s="1"/>
      <c r="T268" s="1"/>
      <c r="U268" s="1"/>
      <c r="V268" s="1"/>
      <c r="W268" s="1"/>
      <c r="X268" s="1"/>
      <c r="Y268" s="1"/>
      <c r="Z268" s="1"/>
      <c r="AA268" s="1"/>
    </row>
    <row r="269" spans="1:27" ht="14" x14ac:dyDescent="0.15">
      <c r="A269" s="9">
        <v>268</v>
      </c>
      <c r="B269" s="9" t="s">
        <v>288</v>
      </c>
      <c r="C269" s="9" t="s">
        <v>23</v>
      </c>
      <c r="D269" s="10">
        <v>277.83</v>
      </c>
      <c r="E269" s="10">
        <v>277.83</v>
      </c>
      <c r="F269" s="10">
        <v>0.4</v>
      </c>
      <c r="G269" s="9">
        <f t="shared" si="16"/>
        <v>82.227820000000008</v>
      </c>
      <c r="H269" s="13" t="s">
        <v>246</v>
      </c>
      <c r="I269" s="12"/>
      <c r="K269">
        <f t="shared" si="17"/>
        <v>277.83</v>
      </c>
      <c r="L269" s="1"/>
      <c r="M269" s="1"/>
      <c r="N269" s="1"/>
      <c r="T269" s="1"/>
      <c r="U269" s="1"/>
      <c r="V269" s="1"/>
      <c r="W269" s="1"/>
      <c r="X269" s="1"/>
      <c r="Y269" s="1"/>
      <c r="Z269" s="1"/>
      <c r="AA269" s="1"/>
    </row>
    <row r="270" spans="1:27" ht="14" x14ac:dyDescent="0.15">
      <c r="A270" s="9">
        <v>269</v>
      </c>
      <c r="B270" s="9" t="s">
        <v>289</v>
      </c>
      <c r="C270" s="9" t="s">
        <v>23</v>
      </c>
      <c r="D270" s="10">
        <v>278.92</v>
      </c>
      <c r="E270" s="10">
        <v>278.92</v>
      </c>
      <c r="F270" s="10">
        <v>0.45</v>
      </c>
      <c r="G270" s="9">
        <f t="shared" si="16"/>
        <v>82.506740000000008</v>
      </c>
      <c r="H270" s="13" t="s">
        <v>246</v>
      </c>
      <c r="I270" s="12"/>
      <c r="K270">
        <f t="shared" si="17"/>
        <v>278.92</v>
      </c>
      <c r="L270" s="1"/>
      <c r="M270" s="1"/>
      <c r="N270" s="1"/>
      <c r="T270" s="1"/>
      <c r="U270" s="1"/>
      <c r="V270" s="1"/>
      <c r="W270" s="1"/>
      <c r="X270" s="1"/>
      <c r="Y270" s="1"/>
      <c r="Z270" s="1"/>
      <c r="AA270" s="1"/>
    </row>
    <row r="271" spans="1:27" ht="14" x14ac:dyDescent="0.15">
      <c r="A271" s="9">
        <v>270</v>
      </c>
      <c r="B271" s="9" t="s">
        <v>290</v>
      </c>
      <c r="C271" s="9" t="s">
        <v>28</v>
      </c>
      <c r="D271" s="10">
        <v>312.89</v>
      </c>
      <c r="E271" s="10">
        <v>321.39</v>
      </c>
      <c r="F271" s="10">
        <v>20.62</v>
      </c>
      <c r="G271" s="9">
        <f t="shared" si="16"/>
        <v>82.828130000000002</v>
      </c>
      <c r="H271" s="13" t="s">
        <v>246</v>
      </c>
      <c r="I271" s="12"/>
      <c r="J271" s="7">
        <f>D271+8.5</f>
        <v>321.39</v>
      </c>
      <c r="K271">
        <f t="shared" si="17"/>
        <v>321.39</v>
      </c>
      <c r="L271" s="1"/>
      <c r="M271" s="1"/>
      <c r="N271" s="1"/>
      <c r="T271" s="1"/>
      <c r="U271" s="1"/>
      <c r="V271" s="1"/>
      <c r="W271" s="1"/>
      <c r="X271" s="1"/>
      <c r="Y271" s="1"/>
      <c r="Z271" s="1"/>
      <c r="AA271" s="1"/>
    </row>
    <row r="272" spans="1:27" ht="14" x14ac:dyDescent="0.15">
      <c r="A272" s="9">
        <v>271</v>
      </c>
      <c r="B272" s="9" t="s">
        <v>291</v>
      </c>
      <c r="C272" s="9" t="s">
        <v>23</v>
      </c>
      <c r="D272" s="10">
        <v>343.64</v>
      </c>
      <c r="E272" s="10">
        <v>343.64</v>
      </c>
      <c r="F272" s="10">
        <v>0.69</v>
      </c>
      <c r="G272" s="9">
        <f t="shared" si="16"/>
        <v>83.171769999999995</v>
      </c>
      <c r="H272" s="13" t="s">
        <v>246</v>
      </c>
      <c r="I272" s="12"/>
      <c r="K272">
        <f t="shared" si="17"/>
        <v>343.64</v>
      </c>
      <c r="L272" s="1"/>
      <c r="M272" s="1"/>
      <c r="N272" s="1"/>
      <c r="T272" s="1"/>
      <c r="U272" s="1"/>
      <c r="V272" s="1"/>
      <c r="W272" s="1"/>
      <c r="X272" s="1"/>
      <c r="Y272" s="1"/>
      <c r="Z272" s="1"/>
      <c r="AA272" s="1"/>
    </row>
    <row r="273" spans="1:27" ht="14" x14ac:dyDescent="0.15">
      <c r="A273" s="9">
        <v>272</v>
      </c>
      <c r="B273" s="9" t="s">
        <v>292</v>
      </c>
      <c r="C273" s="9" t="s">
        <v>23</v>
      </c>
      <c r="D273" s="10">
        <v>321.54000000000002</v>
      </c>
      <c r="E273" s="10">
        <v>321.54000000000002</v>
      </c>
      <c r="F273" s="10">
        <v>0.66</v>
      </c>
      <c r="G273" s="9">
        <f t="shared" si="16"/>
        <v>83.493309999999994</v>
      </c>
      <c r="H273" s="13" t="s">
        <v>246</v>
      </c>
      <c r="I273" s="12"/>
      <c r="K273">
        <f t="shared" si="17"/>
        <v>321.54000000000002</v>
      </c>
      <c r="L273" s="1"/>
      <c r="M273" s="1"/>
      <c r="N273" s="1"/>
      <c r="T273" s="1"/>
      <c r="U273" s="1"/>
      <c r="V273" s="1"/>
      <c r="W273" s="1"/>
      <c r="X273" s="1"/>
      <c r="Y273" s="1"/>
      <c r="Z273" s="1"/>
      <c r="AA273" s="1"/>
    </row>
    <row r="274" spans="1:27" ht="14" x14ac:dyDescent="0.15">
      <c r="A274" s="9">
        <v>273</v>
      </c>
      <c r="B274" s="9" t="s">
        <v>293</v>
      </c>
      <c r="C274" s="9" t="s">
        <v>23</v>
      </c>
      <c r="D274" s="10">
        <v>352.21</v>
      </c>
      <c r="E274" s="10">
        <v>352.21</v>
      </c>
      <c r="F274" s="10">
        <v>0.27</v>
      </c>
      <c r="G274" s="9">
        <f t="shared" si="16"/>
        <v>83.845519999999993</v>
      </c>
      <c r="H274" s="13" t="s">
        <v>246</v>
      </c>
      <c r="I274" s="12"/>
      <c r="K274">
        <f t="shared" si="17"/>
        <v>352.21</v>
      </c>
      <c r="L274" s="1"/>
      <c r="M274" s="1"/>
      <c r="N274" s="1"/>
      <c r="T274" s="1"/>
      <c r="U274" s="1"/>
      <c r="V274" s="1"/>
      <c r="W274" s="1"/>
      <c r="X274" s="1"/>
      <c r="Y274" s="1"/>
      <c r="Z274" s="1"/>
      <c r="AA274" s="1"/>
    </row>
    <row r="275" spans="1:27" ht="14" x14ac:dyDescent="0.15">
      <c r="A275" s="9">
        <v>274</v>
      </c>
      <c r="B275" s="9" t="s">
        <v>294</v>
      </c>
      <c r="C275" s="9" t="s">
        <v>23</v>
      </c>
      <c r="D275" s="10">
        <v>348.93</v>
      </c>
      <c r="E275" s="10">
        <v>348.93</v>
      </c>
      <c r="F275" s="10">
        <v>0.11</v>
      </c>
      <c r="G275" s="9">
        <f t="shared" si="16"/>
        <v>84.194449999999989</v>
      </c>
      <c r="H275" s="13" t="s">
        <v>246</v>
      </c>
      <c r="I275" s="12"/>
      <c r="K275">
        <f t="shared" si="17"/>
        <v>348.93</v>
      </c>
      <c r="L275" s="1"/>
      <c r="M275" s="1"/>
      <c r="N275" s="1"/>
      <c r="T275" s="1"/>
      <c r="U275" s="1"/>
      <c r="V275" s="1"/>
      <c r="W275" s="1"/>
      <c r="X275" s="1"/>
      <c r="Y275" s="1"/>
      <c r="Z275" s="1"/>
      <c r="AA275" s="1"/>
    </row>
    <row r="276" spans="1:27" ht="14" x14ac:dyDescent="0.15">
      <c r="A276" s="9">
        <v>275</v>
      </c>
      <c r="B276" s="9" t="s">
        <v>295</v>
      </c>
      <c r="C276" s="9" t="s">
        <v>23</v>
      </c>
      <c r="D276" s="10">
        <v>345.94</v>
      </c>
      <c r="E276" s="10">
        <v>345.94</v>
      </c>
      <c r="F276" s="10">
        <v>0.7</v>
      </c>
      <c r="G276" s="9">
        <f t="shared" si="16"/>
        <v>84.540389999999988</v>
      </c>
      <c r="H276" s="13" t="s">
        <v>246</v>
      </c>
      <c r="I276" s="12"/>
      <c r="K276">
        <f t="shared" si="17"/>
        <v>345.94</v>
      </c>
      <c r="L276" s="1"/>
      <c r="M276" s="1"/>
      <c r="N276" s="1"/>
      <c r="T276" s="1"/>
      <c r="U276" s="1"/>
      <c r="V276" s="1"/>
      <c r="W276" s="1"/>
      <c r="X276" s="1"/>
      <c r="Y276" s="1"/>
      <c r="Z276" s="1"/>
      <c r="AA276" s="1"/>
    </row>
    <row r="277" spans="1:27" ht="14" x14ac:dyDescent="0.15">
      <c r="A277" s="9">
        <v>276</v>
      </c>
      <c r="B277" s="9" t="s">
        <v>296</v>
      </c>
      <c r="C277" s="9" t="s">
        <v>23</v>
      </c>
      <c r="D277" s="10">
        <v>293.12</v>
      </c>
      <c r="E277" s="10">
        <v>293.12</v>
      </c>
      <c r="F277" s="10">
        <v>0.46</v>
      </c>
      <c r="G277" s="9">
        <f t="shared" si="16"/>
        <v>84.83350999999999</v>
      </c>
      <c r="H277" s="13" t="s">
        <v>246</v>
      </c>
      <c r="I277" s="12"/>
      <c r="K277">
        <f t="shared" si="17"/>
        <v>293.12</v>
      </c>
      <c r="L277" s="1"/>
      <c r="M277" s="1"/>
      <c r="N277" s="1"/>
      <c r="T277" s="1"/>
      <c r="U277" s="1"/>
      <c r="V277" s="1"/>
      <c r="W277" s="1"/>
      <c r="X277" s="1"/>
      <c r="Y277" s="1"/>
      <c r="Z277" s="1"/>
      <c r="AA277" s="1"/>
    </row>
    <row r="278" spans="1:27" ht="14" x14ac:dyDescent="0.15">
      <c r="A278" s="9">
        <v>277</v>
      </c>
      <c r="B278" s="9" t="s">
        <v>297</v>
      </c>
      <c r="C278" s="9" t="s">
        <v>16</v>
      </c>
      <c r="D278" s="10">
        <v>314.75</v>
      </c>
      <c r="E278" s="10">
        <v>314.75</v>
      </c>
      <c r="F278" s="10">
        <v>1.75</v>
      </c>
      <c r="G278" s="9">
        <f t="shared" si="16"/>
        <v>85.148259999999993</v>
      </c>
      <c r="H278" s="13" t="s">
        <v>246</v>
      </c>
      <c r="I278" s="12"/>
      <c r="K278">
        <f t="shared" si="17"/>
        <v>314.75</v>
      </c>
      <c r="L278" s="1"/>
      <c r="M278" s="1"/>
      <c r="N278" s="1"/>
      <c r="T278" s="1"/>
      <c r="U278" s="1"/>
      <c r="V278" s="1"/>
      <c r="W278" s="1"/>
      <c r="X278" s="1"/>
      <c r="Y278" s="1"/>
      <c r="Z278" s="1"/>
      <c r="AA278" s="1"/>
    </row>
    <row r="279" spans="1:27" ht="14" x14ac:dyDescent="0.15">
      <c r="A279" s="9">
        <v>278</v>
      </c>
      <c r="B279" s="9" t="s">
        <v>298</v>
      </c>
      <c r="C279" s="9" t="s">
        <v>23</v>
      </c>
      <c r="D279" s="10">
        <v>335.45</v>
      </c>
      <c r="E279" s="10">
        <v>335.45</v>
      </c>
      <c r="F279" s="10">
        <v>0.62</v>
      </c>
      <c r="G279" s="9">
        <f t="shared" si="16"/>
        <v>85.483709999999988</v>
      </c>
      <c r="H279" s="13" t="s">
        <v>246</v>
      </c>
      <c r="I279" s="12"/>
      <c r="K279">
        <f t="shared" si="17"/>
        <v>335.45</v>
      </c>
      <c r="L279" s="1"/>
      <c r="M279" s="1"/>
      <c r="N279" s="1"/>
      <c r="T279" s="1"/>
      <c r="U279" s="1"/>
      <c r="V279" s="1"/>
      <c r="W279" s="1"/>
      <c r="X279" s="1"/>
      <c r="Y279" s="1"/>
      <c r="Z279" s="1"/>
      <c r="AA279" s="1"/>
    </row>
    <row r="280" spans="1:27" ht="14" x14ac:dyDescent="0.15">
      <c r="A280" s="9">
        <v>279</v>
      </c>
      <c r="B280" s="9" t="s">
        <v>299</v>
      </c>
      <c r="C280" s="9" t="s">
        <v>28</v>
      </c>
      <c r="D280" s="10">
        <v>259.69</v>
      </c>
      <c r="E280" s="10">
        <v>268.19</v>
      </c>
      <c r="F280" s="10">
        <v>26.04</v>
      </c>
      <c r="G280" s="9">
        <f t="shared" si="16"/>
        <v>85.751899999999992</v>
      </c>
      <c r="H280" s="13" t="s">
        <v>246</v>
      </c>
      <c r="I280" s="12"/>
      <c r="J280" s="7">
        <f t="shared" ref="J280:J281" si="19">D280+8.5</f>
        <v>268.19</v>
      </c>
      <c r="K280">
        <f t="shared" si="17"/>
        <v>268.19</v>
      </c>
      <c r="L280" s="1"/>
      <c r="M280" s="1"/>
      <c r="N280" s="1"/>
      <c r="T280" s="1"/>
      <c r="U280" s="1"/>
      <c r="V280" s="1"/>
      <c r="W280" s="1"/>
      <c r="X280" s="1"/>
      <c r="Y280" s="1"/>
      <c r="Z280" s="1"/>
      <c r="AA280" s="1"/>
    </row>
    <row r="281" spans="1:27" ht="14" x14ac:dyDescent="0.15">
      <c r="A281" s="9">
        <v>280</v>
      </c>
      <c r="B281" s="9" t="s">
        <v>300</v>
      </c>
      <c r="C281" s="9" t="s">
        <v>14</v>
      </c>
      <c r="D281" s="10">
        <v>107.81</v>
      </c>
      <c r="E281" s="10">
        <v>116.31</v>
      </c>
      <c r="F281" s="10">
        <v>59.61</v>
      </c>
      <c r="G281" s="9">
        <f t="shared" si="16"/>
        <v>85.868209999999991</v>
      </c>
      <c r="H281" s="13" t="s">
        <v>246</v>
      </c>
      <c r="I281" s="12"/>
      <c r="J281" s="7">
        <f t="shared" si="19"/>
        <v>116.31</v>
      </c>
      <c r="K281">
        <f t="shared" si="17"/>
        <v>116.31</v>
      </c>
      <c r="L281" s="1"/>
      <c r="M281" s="1"/>
      <c r="N281" s="1"/>
      <c r="T281" s="1"/>
      <c r="U281" s="1"/>
      <c r="V281" s="1"/>
      <c r="W281" s="1"/>
      <c r="X281" s="1"/>
      <c r="Y281" s="1"/>
      <c r="Z281" s="1"/>
      <c r="AA281" s="1"/>
    </row>
    <row r="282" spans="1:27" ht="14" x14ac:dyDescent="0.15">
      <c r="A282" s="9">
        <v>281</v>
      </c>
      <c r="B282" s="9" t="s">
        <v>301</v>
      </c>
      <c r="C282" s="9" t="s">
        <v>10</v>
      </c>
      <c r="D282" s="10">
        <v>59.49</v>
      </c>
      <c r="E282" s="10">
        <v>59.49</v>
      </c>
      <c r="F282" s="10">
        <v>0.22</v>
      </c>
      <c r="G282" s="9">
        <f t="shared" si="16"/>
        <v>85.927699999999987</v>
      </c>
      <c r="H282" s="13" t="s">
        <v>246</v>
      </c>
      <c r="I282" s="12"/>
      <c r="K282">
        <f t="shared" si="17"/>
        <v>59.49</v>
      </c>
      <c r="L282" s="1"/>
      <c r="M282" s="1"/>
      <c r="N282" s="1"/>
      <c r="T282" s="1"/>
      <c r="U282" s="1"/>
      <c r="V282" s="1"/>
      <c r="W282" s="1"/>
      <c r="X282" s="1"/>
      <c r="Y282" s="1"/>
      <c r="Z282" s="1"/>
      <c r="AA282" s="1"/>
    </row>
    <row r="283" spans="1:27" ht="14" x14ac:dyDescent="0.15">
      <c r="A283" s="9">
        <v>282</v>
      </c>
      <c r="B283" s="9" t="s">
        <v>302</v>
      </c>
      <c r="C283" s="9" t="s">
        <v>10</v>
      </c>
      <c r="D283" s="10">
        <v>98.11</v>
      </c>
      <c r="E283" s="10">
        <v>98.11</v>
      </c>
      <c r="F283" s="10">
        <v>0.95</v>
      </c>
      <c r="G283" s="9">
        <f t="shared" si="16"/>
        <v>86.025809999999993</v>
      </c>
      <c r="H283" s="13" t="s">
        <v>246</v>
      </c>
      <c r="I283" s="12"/>
      <c r="K283">
        <f t="shared" si="17"/>
        <v>98.11</v>
      </c>
      <c r="L283" s="1"/>
      <c r="M283" s="1"/>
      <c r="N283" s="1"/>
      <c r="T283" s="1"/>
      <c r="U283" s="1"/>
      <c r="V283" s="1"/>
      <c r="W283" s="1"/>
      <c r="X283" s="1"/>
      <c r="Y283" s="1"/>
      <c r="Z283" s="1"/>
      <c r="AA283" s="1"/>
    </row>
    <row r="284" spans="1:27" ht="14" x14ac:dyDescent="0.15">
      <c r="A284" s="9">
        <v>283</v>
      </c>
      <c r="B284" s="9" t="s">
        <v>303</v>
      </c>
      <c r="C284" s="9" t="s">
        <v>19</v>
      </c>
      <c r="D284" s="10">
        <v>130.69</v>
      </c>
      <c r="E284" s="10">
        <v>139.19</v>
      </c>
      <c r="F284" s="10">
        <v>6.79</v>
      </c>
      <c r="G284" s="9">
        <f t="shared" si="16"/>
        <v>86.164999999999992</v>
      </c>
      <c r="H284" s="13" t="s">
        <v>246</v>
      </c>
      <c r="I284" s="12"/>
      <c r="J284" s="7">
        <f t="shared" ref="J284:J285" si="20">D284+8.5</f>
        <v>139.19</v>
      </c>
      <c r="K284">
        <f t="shared" si="17"/>
        <v>139.19</v>
      </c>
      <c r="L284" s="1"/>
      <c r="M284" s="1"/>
      <c r="N284" s="1"/>
      <c r="T284" s="1"/>
      <c r="U284" s="1"/>
      <c r="V284" s="1"/>
      <c r="W284" s="1"/>
      <c r="X284" s="1"/>
      <c r="Y284" s="1"/>
      <c r="Z284" s="1"/>
      <c r="AA284" s="1"/>
    </row>
    <row r="285" spans="1:27" ht="14" x14ac:dyDescent="0.15">
      <c r="A285" s="9">
        <v>284</v>
      </c>
      <c r="B285" s="9" t="s">
        <v>304</v>
      </c>
      <c r="C285" s="9" t="s">
        <v>19</v>
      </c>
      <c r="D285" s="10">
        <v>276.17</v>
      </c>
      <c r="E285" s="10">
        <v>284.67</v>
      </c>
      <c r="F285" s="10">
        <v>47.3</v>
      </c>
      <c r="G285" s="9">
        <f t="shared" si="16"/>
        <v>86.449669999999998</v>
      </c>
      <c r="H285" s="13" t="s">
        <v>246</v>
      </c>
      <c r="I285" s="12"/>
      <c r="J285" s="7">
        <f t="shared" si="20"/>
        <v>284.67</v>
      </c>
      <c r="K285">
        <f t="shared" si="17"/>
        <v>284.67</v>
      </c>
      <c r="L285" s="1"/>
      <c r="M285" s="1"/>
      <c r="N285" s="1"/>
      <c r="T285" s="1"/>
      <c r="U285" s="1"/>
      <c r="V285" s="1"/>
      <c r="W285" s="1"/>
      <c r="X285" s="1"/>
      <c r="Y285" s="1"/>
      <c r="Z285" s="1"/>
      <c r="AA285" s="1"/>
    </row>
    <row r="286" spans="1:27" ht="14" x14ac:dyDescent="0.15">
      <c r="A286" s="9">
        <v>285</v>
      </c>
      <c r="B286" s="9" t="s">
        <v>305</v>
      </c>
      <c r="C286" s="9" t="s">
        <v>23</v>
      </c>
      <c r="D286" s="10">
        <v>355</v>
      </c>
      <c r="E286" s="10">
        <v>355</v>
      </c>
      <c r="F286" s="10">
        <v>0.17</v>
      </c>
      <c r="G286" s="9">
        <f t="shared" si="16"/>
        <v>86.804670000000002</v>
      </c>
      <c r="H286" s="13" t="s">
        <v>246</v>
      </c>
      <c r="I286" s="12"/>
      <c r="K286">
        <f t="shared" si="17"/>
        <v>355</v>
      </c>
      <c r="L286" s="1"/>
      <c r="M286" s="1"/>
      <c r="N286" s="1"/>
      <c r="T286" s="1"/>
      <c r="U286" s="1"/>
      <c r="V286" s="1"/>
      <c r="W286" s="1"/>
      <c r="X286" s="1"/>
      <c r="Y286" s="1"/>
      <c r="Z286" s="1"/>
      <c r="AA286" s="1"/>
    </row>
    <row r="287" spans="1:27" ht="14" x14ac:dyDescent="0.15">
      <c r="A287" s="9">
        <v>286</v>
      </c>
      <c r="B287" s="9" t="s">
        <v>306</v>
      </c>
      <c r="C287" s="9" t="s">
        <v>23</v>
      </c>
      <c r="D287" s="10">
        <v>362.87</v>
      </c>
      <c r="E287" s="10">
        <v>362.87</v>
      </c>
      <c r="F287" s="10">
        <v>0.17</v>
      </c>
      <c r="G287" s="9">
        <f t="shared" si="16"/>
        <v>87.167540000000002</v>
      </c>
      <c r="H287" s="13" t="s">
        <v>246</v>
      </c>
      <c r="I287" s="12"/>
      <c r="K287">
        <f t="shared" si="17"/>
        <v>362.87</v>
      </c>
      <c r="L287" s="1"/>
      <c r="M287" s="1"/>
      <c r="N287" s="1"/>
      <c r="T287" s="1"/>
      <c r="U287" s="1"/>
      <c r="V287" s="1"/>
      <c r="W287" s="1"/>
      <c r="X287" s="1"/>
      <c r="Y287" s="1"/>
      <c r="Z287" s="1"/>
      <c r="AA287" s="1"/>
    </row>
    <row r="288" spans="1:27" ht="14" x14ac:dyDescent="0.15">
      <c r="A288" s="9">
        <v>287</v>
      </c>
      <c r="B288" s="9" t="s">
        <v>307</v>
      </c>
      <c r="C288" s="9" t="s">
        <v>23</v>
      </c>
      <c r="D288" s="10">
        <v>325.56</v>
      </c>
      <c r="E288" s="10">
        <v>325.56</v>
      </c>
      <c r="F288" s="10">
        <v>0.13</v>
      </c>
      <c r="G288" s="9">
        <f t="shared" si="16"/>
        <v>87.493099999999998</v>
      </c>
      <c r="H288" s="13" t="s">
        <v>246</v>
      </c>
      <c r="I288" s="12"/>
      <c r="K288">
        <f t="shared" si="17"/>
        <v>325.56</v>
      </c>
      <c r="L288" s="1"/>
      <c r="M288" s="1"/>
      <c r="N288" s="1"/>
      <c r="T288" s="1"/>
      <c r="U288" s="1"/>
      <c r="V288" s="1"/>
      <c r="W288" s="1"/>
      <c r="X288" s="1"/>
      <c r="Y288" s="1"/>
      <c r="Z288" s="1"/>
      <c r="AA288" s="1"/>
    </row>
    <row r="289" spans="1:27" ht="14" x14ac:dyDescent="0.15">
      <c r="A289" s="9">
        <v>288</v>
      </c>
      <c r="B289" s="9" t="s">
        <v>308</v>
      </c>
      <c r="C289" s="9" t="s">
        <v>19</v>
      </c>
      <c r="D289" s="10">
        <v>355.26</v>
      </c>
      <c r="E289" s="10">
        <v>363.76</v>
      </c>
      <c r="F289" s="10">
        <v>50.6</v>
      </c>
      <c r="G289" s="9">
        <f t="shared" si="16"/>
        <v>87.856859999999998</v>
      </c>
      <c r="H289" s="13" t="s">
        <v>246</v>
      </c>
      <c r="I289" s="12"/>
      <c r="J289" s="7">
        <f>D289+8.5</f>
        <v>363.76</v>
      </c>
      <c r="K289">
        <f t="shared" si="17"/>
        <v>363.76</v>
      </c>
      <c r="L289" s="1"/>
      <c r="M289" s="1"/>
      <c r="N289" s="1"/>
      <c r="T289" s="1"/>
      <c r="U289" s="1"/>
      <c r="V289" s="1"/>
      <c r="W289" s="1"/>
      <c r="X289" s="1"/>
      <c r="Y289" s="1"/>
      <c r="Z289" s="1"/>
      <c r="AA289" s="1"/>
    </row>
    <row r="290" spans="1:27" ht="14" x14ac:dyDescent="0.15">
      <c r="A290" s="9">
        <v>289</v>
      </c>
      <c r="B290" s="9" t="s">
        <v>309</v>
      </c>
      <c r="C290" s="9" t="s">
        <v>23</v>
      </c>
      <c r="D290" s="10">
        <v>339.26</v>
      </c>
      <c r="E290" s="10">
        <v>339.26</v>
      </c>
      <c r="F290" s="10">
        <v>1.37</v>
      </c>
      <c r="G290" s="9">
        <f t="shared" si="16"/>
        <v>88.196119999999993</v>
      </c>
      <c r="H290" s="13" t="s">
        <v>246</v>
      </c>
      <c r="I290" s="12"/>
      <c r="K290">
        <f t="shared" si="17"/>
        <v>339.26</v>
      </c>
      <c r="L290" s="1"/>
      <c r="M290" s="1"/>
      <c r="N290" s="1"/>
      <c r="T290" s="1"/>
      <c r="U290" s="1"/>
      <c r="V290" s="1"/>
      <c r="W290" s="1"/>
      <c r="X290" s="1"/>
      <c r="Y290" s="1"/>
      <c r="Z290" s="1"/>
      <c r="AA290" s="1"/>
    </row>
    <row r="291" spans="1:27" ht="14" x14ac:dyDescent="0.15">
      <c r="A291" s="9">
        <v>290</v>
      </c>
      <c r="B291" s="9" t="s">
        <v>310</v>
      </c>
      <c r="C291" s="9" t="s">
        <v>23</v>
      </c>
      <c r="D291" s="10">
        <v>348.9</v>
      </c>
      <c r="E291" s="10">
        <v>348.9</v>
      </c>
      <c r="F291" s="10">
        <v>0.25</v>
      </c>
      <c r="G291" s="9">
        <f t="shared" si="16"/>
        <v>88.545019999999994</v>
      </c>
      <c r="H291" s="13" t="s">
        <v>246</v>
      </c>
      <c r="I291" s="12"/>
      <c r="K291">
        <f t="shared" si="17"/>
        <v>348.9</v>
      </c>
      <c r="L291" s="1"/>
      <c r="M291" s="1"/>
      <c r="N291" s="1"/>
      <c r="T291" s="1"/>
      <c r="U291" s="1"/>
      <c r="V291" s="1"/>
      <c r="W291" s="1"/>
      <c r="X291" s="1"/>
      <c r="Y291" s="1"/>
      <c r="Z291" s="1"/>
      <c r="AA291" s="1"/>
    </row>
    <row r="292" spans="1:27" ht="14" x14ac:dyDescent="0.15">
      <c r="A292" s="9">
        <v>291</v>
      </c>
      <c r="B292" s="9" t="s">
        <v>311</v>
      </c>
      <c r="C292" s="9" t="s">
        <v>23</v>
      </c>
      <c r="D292" s="10">
        <v>324.66000000000003</v>
      </c>
      <c r="E292" s="10">
        <v>324.66000000000003</v>
      </c>
      <c r="F292" s="10">
        <v>0.33</v>
      </c>
      <c r="G292" s="9">
        <f t="shared" si="16"/>
        <v>88.869679999999988</v>
      </c>
      <c r="H292" s="13" t="s">
        <v>246</v>
      </c>
      <c r="I292" s="12"/>
      <c r="K292">
        <f t="shared" si="17"/>
        <v>324.66000000000003</v>
      </c>
      <c r="L292" s="1"/>
      <c r="M292" s="1"/>
      <c r="N292" s="1"/>
      <c r="T292" s="1"/>
      <c r="U292" s="1"/>
      <c r="V292" s="1"/>
      <c r="W292" s="1"/>
      <c r="X292" s="1"/>
      <c r="Y292" s="1"/>
      <c r="Z292" s="1"/>
      <c r="AA292" s="1"/>
    </row>
    <row r="293" spans="1:27" ht="14" x14ac:dyDescent="0.15">
      <c r="A293" s="9">
        <v>292</v>
      </c>
      <c r="B293" s="9" t="s">
        <v>312</v>
      </c>
      <c r="C293" s="9" t="s">
        <v>23</v>
      </c>
      <c r="D293" s="10">
        <v>350.57</v>
      </c>
      <c r="E293" s="10">
        <v>350.57</v>
      </c>
      <c r="F293" s="10">
        <v>7.0000000000000007E-2</v>
      </c>
      <c r="G293" s="9">
        <f t="shared" si="16"/>
        <v>89.220249999999993</v>
      </c>
      <c r="H293" s="13" t="s">
        <v>246</v>
      </c>
      <c r="I293" s="12"/>
      <c r="K293">
        <f t="shared" si="17"/>
        <v>350.57</v>
      </c>
      <c r="L293" s="1"/>
      <c r="M293" s="1"/>
      <c r="N293" s="1"/>
      <c r="T293" s="1"/>
      <c r="U293" s="1"/>
      <c r="V293" s="1"/>
      <c r="W293" s="1"/>
      <c r="X293" s="1"/>
      <c r="Y293" s="1"/>
      <c r="Z293" s="1"/>
      <c r="AA293" s="1"/>
    </row>
    <row r="294" spans="1:27" ht="14" x14ac:dyDescent="0.15">
      <c r="A294" s="9">
        <v>293</v>
      </c>
      <c r="B294" s="9" t="s">
        <v>313</v>
      </c>
      <c r="C294" s="9" t="s">
        <v>23</v>
      </c>
      <c r="D294" s="10">
        <v>254.15</v>
      </c>
      <c r="E294" s="10">
        <v>254.15</v>
      </c>
      <c r="F294" s="10">
        <v>0.11</v>
      </c>
      <c r="G294" s="9">
        <f t="shared" si="16"/>
        <v>89.474399999999989</v>
      </c>
      <c r="H294" s="13" t="s">
        <v>246</v>
      </c>
      <c r="I294" s="12"/>
      <c r="K294">
        <f t="shared" si="17"/>
        <v>254.15</v>
      </c>
      <c r="L294" s="1"/>
      <c r="M294" s="1"/>
      <c r="N294" s="1"/>
      <c r="T294" s="1"/>
      <c r="U294" s="1"/>
      <c r="V294" s="1"/>
      <c r="W294" s="1"/>
      <c r="X294" s="1"/>
      <c r="Y294" s="1"/>
      <c r="Z294" s="1"/>
      <c r="AA294" s="1"/>
    </row>
    <row r="295" spans="1:27" ht="14" x14ac:dyDescent="0.15">
      <c r="A295" s="9">
        <v>294</v>
      </c>
      <c r="B295" s="9" t="s">
        <v>314</v>
      </c>
      <c r="C295" s="9" t="s">
        <v>28</v>
      </c>
      <c r="D295" s="10">
        <v>354.72</v>
      </c>
      <c r="E295" s="10">
        <v>363.22</v>
      </c>
      <c r="F295" s="10">
        <v>24.02</v>
      </c>
      <c r="G295" s="9">
        <f t="shared" si="16"/>
        <v>89.837619999999987</v>
      </c>
      <c r="H295" s="13" t="s">
        <v>246</v>
      </c>
      <c r="I295" s="12"/>
      <c r="J295" s="7">
        <f>D295+8.5</f>
        <v>363.22</v>
      </c>
      <c r="K295">
        <f t="shared" si="17"/>
        <v>363.22</v>
      </c>
      <c r="L295" s="1"/>
      <c r="M295" s="1"/>
      <c r="N295" s="1"/>
      <c r="T295" s="1"/>
      <c r="U295" s="1"/>
      <c r="V295" s="1"/>
      <c r="W295" s="1"/>
      <c r="X295" s="1"/>
      <c r="Y295" s="1"/>
      <c r="Z295" s="1"/>
      <c r="AA295" s="1"/>
    </row>
    <row r="296" spans="1:27" ht="14" x14ac:dyDescent="0.15">
      <c r="A296" s="9">
        <v>295</v>
      </c>
      <c r="B296" s="9" t="s">
        <v>315</v>
      </c>
      <c r="C296" s="9" t="s">
        <v>23</v>
      </c>
      <c r="D296" s="10">
        <v>325.26</v>
      </c>
      <c r="E296" s="10">
        <v>325.26</v>
      </c>
      <c r="F296" s="10">
        <v>0.18</v>
      </c>
      <c r="G296" s="9">
        <f t="shared" si="16"/>
        <v>90.162879999999987</v>
      </c>
      <c r="H296" s="13" t="s">
        <v>246</v>
      </c>
      <c r="I296" s="12"/>
      <c r="K296">
        <f t="shared" si="17"/>
        <v>325.26</v>
      </c>
      <c r="L296" s="1"/>
      <c r="M296" s="1"/>
      <c r="N296" s="1"/>
      <c r="T296" s="1"/>
      <c r="U296" s="1"/>
      <c r="V296" s="1"/>
      <c r="W296" s="1"/>
      <c r="X296" s="1"/>
      <c r="Y296" s="1"/>
      <c r="Z296" s="1"/>
      <c r="AA296" s="1"/>
    </row>
    <row r="297" spans="1:27" ht="14" x14ac:dyDescent="0.15">
      <c r="A297" s="9">
        <v>296</v>
      </c>
      <c r="B297" s="9" t="s">
        <v>316</v>
      </c>
      <c r="C297" s="9" t="s">
        <v>23</v>
      </c>
      <c r="D297" s="10">
        <v>272.49</v>
      </c>
      <c r="E297" s="10">
        <v>272.49</v>
      </c>
      <c r="F297" s="10">
        <v>0.09</v>
      </c>
      <c r="G297" s="9">
        <f t="shared" si="16"/>
        <v>90.435369999999992</v>
      </c>
      <c r="H297" s="13" t="s">
        <v>246</v>
      </c>
      <c r="I297" s="12"/>
      <c r="K297">
        <f t="shared" si="17"/>
        <v>272.49</v>
      </c>
      <c r="L297" s="1"/>
      <c r="M297" s="1"/>
      <c r="N297" s="1"/>
      <c r="T297" s="1"/>
      <c r="U297" s="1"/>
      <c r="V297" s="1"/>
      <c r="W297" s="1"/>
      <c r="X297" s="1"/>
      <c r="Y297" s="1"/>
      <c r="Z297" s="1"/>
      <c r="AA297" s="1"/>
    </row>
    <row r="298" spans="1:27" ht="14" x14ac:dyDescent="0.15">
      <c r="A298" s="9">
        <v>297</v>
      </c>
      <c r="B298" s="9" t="s">
        <v>317</v>
      </c>
      <c r="C298" s="9" t="s">
        <v>19</v>
      </c>
      <c r="D298" s="10">
        <v>321.35000000000002</v>
      </c>
      <c r="E298" s="10">
        <v>329.85</v>
      </c>
      <c r="F298" s="10">
        <v>57.65</v>
      </c>
      <c r="G298" s="9">
        <f t="shared" si="16"/>
        <v>90.765219999999985</v>
      </c>
      <c r="H298" s="13" t="s">
        <v>246</v>
      </c>
      <c r="I298" s="12"/>
      <c r="J298" s="7">
        <f>D298+8.5</f>
        <v>329.85</v>
      </c>
      <c r="K298">
        <f t="shared" si="17"/>
        <v>329.85</v>
      </c>
      <c r="L298" s="1"/>
      <c r="M298" s="1"/>
      <c r="N298" s="1"/>
      <c r="T298" s="1"/>
      <c r="U298" s="1"/>
      <c r="V298" s="1"/>
      <c r="W298" s="1"/>
      <c r="X298" s="1"/>
      <c r="Y298" s="1"/>
      <c r="Z298" s="1"/>
      <c r="AA298" s="1"/>
    </row>
    <row r="299" spans="1:27" ht="14" x14ac:dyDescent="0.15">
      <c r="A299" s="9">
        <v>298</v>
      </c>
      <c r="B299" s="9" t="s">
        <v>318</v>
      </c>
      <c r="C299" s="9" t="s">
        <v>23</v>
      </c>
      <c r="D299" s="10">
        <v>300.70999999999998</v>
      </c>
      <c r="E299" s="10">
        <v>300.70999999999998</v>
      </c>
      <c r="F299" s="10">
        <v>0.16</v>
      </c>
      <c r="G299" s="9">
        <f t="shared" si="16"/>
        <v>91.06592999999998</v>
      </c>
      <c r="H299" s="13" t="s">
        <v>246</v>
      </c>
      <c r="I299" s="12"/>
      <c r="K299">
        <f t="shared" si="17"/>
        <v>300.70999999999998</v>
      </c>
      <c r="L299" s="1"/>
      <c r="M299" s="1"/>
      <c r="N299" s="1"/>
      <c r="T299" s="1"/>
      <c r="U299" s="1"/>
      <c r="V299" s="1"/>
      <c r="W299" s="1"/>
      <c r="X299" s="1"/>
      <c r="Y299" s="1"/>
      <c r="Z299" s="1"/>
      <c r="AA299" s="1"/>
    </row>
    <row r="300" spans="1:27" ht="14" x14ac:dyDescent="0.15">
      <c r="A300" s="9">
        <v>299</v>
      </c>
      <c r="B300" s="9" t="s">
        <v>319</v>
      </c>
      <c r="C300" s="9" t="s">
        <v>23</v>
      </c>
      <c r="D300" s="10">
        <v>298.70999999999998</v>
      </c>
      <c r="E300" s="10">
        <v>298.70999999999998</v>
      </c>
      <c r="F300" s="10">
        <v>0.33</v>
      </c>
      <c r="G300" s="9">
        <f t="shared" si="16"/>
        <v>91.36463999999998</v>
      </c>
      <c r="H300" s="13" t="s">
        <v>246</v>
      </c>
      <c r="I300" s="12"/>
      <c r="K300">
        <f t="shared" si="17"/>
        <v>298.70999999999998</v>
      </c>
      <c r="L300" s="1"/>
      <c r="M300" s="1"/>
      <c r="N300" s="1"/>
      <c r="T300" s="1"/>
      <c r="U300" s="1"/>
      <c r="V300" s="1"/>
      <c r="W300" s="1"/>
      <c r="X300" s="1"/>
      <c r="Y300" s="1"/>
      <c r="Z300" s="1"/>
      <c r="AA300" s="1"/>
    </row>
    <row r="301" spans="1:27" ht="14" x14ac:dyDescent="0.15">
      <c r="A301" s="9">
        <v>300</v>
      </c>
      <c r="B301" s="9" t="s">
        <v>320</v>
      </c>
      <c r="C301" s="9" t="s">
        <v>23</v>
      </c>
      <c r="D301" s="10">
        <v>299.58</v>
      </c>
      <c r="E301" s="10">
        <v>299.58</v>
      </c>
      <c r="F301" s="10">
        <v>1.9</v>
      </c>
      <c r="G301" s="9">
        <f t="shared" si="16"/>
        <v>91.664219999999986</v>
      </c>
      <c r="H301" s="13" t="s">
        <v>246</v>
      </c>
      <c r="I301" s="12"/>
      <c r="K301">
        <f t="shared" si="17"/>
        <v>299.58</v>
      </c>
      <c r="L301" s="1"/>
      <c r="M301" s="1"/>
      <c r="N301" s="1"/>
      <c r="T301" s="1"/>
      <c r="U301" s="1"/>
      <c r="V301" s="1"/>
      <c r="W301" s="1"/>
      <c r="X301" s="1"/>
      <c r="Y301" s="1"/>
      <c r="Z301" s="1"/>
      <c r="AA301" s="1"/>
    </row>
    <row r="302" spans="1:27" ht="14" x14ac:dyDescent="0.15">
      <c r="A302" s="9">
        <v>301</v>
      </c>
      <c r="B302" s="9" t="s">
        <v>321</v>
      </c>
      <c r="C302" s="9" t="s">
        <v>23</v>
      </c>
      <c r="D302" s="10">
        <v>326.85000000000002</v>
      </c>
      <c r="E302" s="10">
        <v>326.85000000000002</v>
      </c>
      <c r="F302" s="10">
        <v>1.77</v>
      </c>
      <c r="G302" s="9">
        <f t="shared" si="16"/>
        <v>91.991069999999979</v>
      </c>
      <c r="H302" s="13" t="s">
        <v>246</v>
      </c>
      <c r="I302" s="12"/>
      <c r="K302">
        <f t="shared" si="17"/>
        <v>326.85000000000002</v>
      </c>
      <c r="L302" s="1"/>
      <c r="M302" s="1"/>
      <c r="N302" s="1"/>
      <c r="T302" s="1"/>
      <c r="U302" s="1"/>
      <c r="V302" s="1"/>
      <c r="W302" s="1"/>
      <c r="X302" s="1"/>
      <c r="Y302" s="1"/>
      <c r="Z302" s="1"/>
      <c r="AA302" s="1"/>
    </row>
    <row r="303" spans="1:27" ht="14" x14ac:dyDescent="0.15">
      <c r="A303" s="9">
        <v>302</v>
      </c>
      <c r="B303" s="9" t="s">
        <v>322</v>
      </c>
      <c r="C303" s="9" t="s">
        <v>23</v>
      </c>
      <c r="D303" s="10">
        <v>307.17</v>
      </c>
      <c r="E303" s="10">
        <v>307.17</v>
      </c>
      <c r="F303" s="10">
        <v>0.27</v>
      </c>
      <c r="G303" s="9">
        <f t="shared" si="16"/>
        <v>92.298239999999979</v>
      </c>
      <c r="H303" s="13" t="s">
        <v>246</v>
      </c>
      <c r="I303" s="12"/>
      <c r="K303">
        <f t="shared" si="17"/>
        <v>307.17</v>
      </c>
      <c r="L303" s="1"/>
      <c r="M303" s="1"/>
      <c r="N303" s="1"/>
      <c r="T303" s="1"/>
      <c r="U303" s="1"/>
      <c r="V303" s="1"/>
      <c r="W303" s="1"/>
      <c r="X303" s="1"/>
      <c r="Y303" s="1"/>
      <c r="Z303" s="1"/>
      <c r="AA303" s="1"/>
    </row>
    <row r="304" spans="1:27" ht="14" x14ac:dyDescent="0.15">
      <c r="A304" s="9">
        <v>303</v>
      </c>
      <c r="B304" s="9" t="s">
        <v>323</v>
      </c>
      <c r="C304" s="9" t="s">
        <v>23</v>
      </c>
      <c r="D304" s="10">
        <v>321.25</v>
      </c>
      <c r="E304" s="10">
        <v>321.25</v>
      </c>
      <c r="F304" s="10">
        <v>0.06</v>
      </c>
      <c r="G304" s="9">
        <f t="shared" si="16"/>
        <v>92.619489999999985</v>
      </c>
      <c r="H304" s="13" t="s">
        <v>246</v>
      </c>
      <c r="I304" s="12"/>
      <c r="K304">
        <f t="shared" si="17"/>
        <v>321.25</v>
      </c>
      <c r="L304" s="1"/>
      <c r="M304" s="1"/>
      <c r="N304" s="1"/>
      <c r="T304" s="1"/>
      <c r="U304" s="1"/>
      <c r="V304" s="1"/>
      <c r="W304" s="1"/>
      <c r="X304" s="1"/>
      <c r="Y304" s="1"/>
      <c r="Z304" s="1"/>
      <c r="AA304" s="1"/>
    </row>
    <row r="305" spans="1:27" ht="14" x14ac:dyDescent="0.15">
      <c r="A305" s="9">
        <v>304</v>
      </c>
      <c r="B305" s="9" t="s">
        <v>324</v>
      </c>
      <c r="C305" s="9" t="s">
        <v>23</v>
      </c>
      <c r="D305" s="10">
        <v>321.10000000000002</v>
      </c>
      <c r="E305" s="10">
        <v>321.10000000000002</v>
      </c>
      <c r="F305" s="10">
        <v>0.34</v>
      </c>
      <c r="G305" s="9">
        <f t="shared" si="16"/>
        <v>92.940589999999986</v>
      </c>
      <c r="H305" s="13" t="s">
        <v>246</v>
      </c>
      <c r="I305" s="12"/>
      <c r="K305">
        <f t="shared" si="17"/>
        <v>321.10000000000002</v>
      </c>
      <c r="L305" s="1"/>
      <c r="M305" s="1"/>
      <c r="N305" s="1"/>
      <c r="T305" s="1"/>
      <c r="U305" s="1"/>
      <c r="V305" s="1"/>
      <c r="W305" s="1"/>
      <c r="X305" s="1"/>
      <c r="Y305" s="1"/>
      <c r="Z305" s="1"/>
      <c r="AA305" s="1"/>
    </row>
    <row r="306" spans="1:27" ht="14" x14ac:dyDescent="0.15">
      <c r="A306" s="9">
        <v>305</v>
      </c>
      <c r="B306" s="9" t="s">
        <v>325</v>
      </c>
      <c r="C306" s="9" t="s">
        <v>23</v>
      </c>
      <c r="D306" s="10">
        <v>355.17</v>
      </c>
      <c r="E306" s="10">
        <v>355.17</v>
      </c>
      <c r="F306" s="10">
        <v>1.4</v>
      </c>
      <c r="G306" s="9">
        <f t="shared" si="16"/>
        <v>93.295759999999987</v>
      </c>
      <c r="H306" s="13" t="s">
        <v>246</v>
      </c>
      <c r="I306" s="12"/>
      <c r="K306">
        <f t="shared" si="17"/>
        <v>355.17</v>
      </c>
      <c r="L306" s="1"/>
      <c r="M306" s="1"/>
      <c r="N306" s="1"/>
      <c r="T306" s="1"/>
      <c r="U306" s="1"/>
      <c r="V306" s="1"/>
      <c r="W306" s="1"/>
      <c r="X306" s="1"/>
      <c r="Y306" s="1"/>
      <c r="Z306" s="1"/>
      <c r="AA306" s="1"/>
    </row>
    <row r="307" spans="1:27" ht="14" x14ac:dyDescent="0.15">
      <c r="A307" s="9">
        <v>306</v>
      </c>
      <c r="B307" s="9" t="s">
        <v>326</v>
      </c>
      <c r="C307" s="9" t="s">
        <v>23</v>
      </c>
      <c r="D307" s="10">
        <v>328.21</v>
      </c>
      <c r="E307" s="10">
        <v>328.21</v>
      </c>
      <c r="F307" s="10">
        <v>0.42</v>
      </c>
      <c r="G307" s="9">
        <f t="shared" si="16"/>
        <v>93.623969999999986</v>
      </c>
      <c r="H307" s="13" t="s">
        <v>246</v>
      </c>
      <c r="I307" s="12"/>
      <c r="K307">
        <f t="shared" si="17"/>
        <v>328.21</v>
      </c>
      <c r="L307" s="1"/>
      <c r="M307" s="1"/>
      <c r="N307" s="1"/>
      <c r="T307" s="1"/>
      <c r="U307" s="1"/>
      <c r="V307" s="1"/>
      <c r="W307" s="1"/>
      <c r="X307" s="1"/>
      <c r="Y307" s="1"/>
      <c r="Z307" s="1"/>
      <c r="AA307" s="1"/>
    </row>
    <row r="308" spans="1:27" ht="14" x14ac:dyDescent="0.15">
      <c r="A308" s="9">
        <v>307</v>
      </c>
      <c r="B308" s="9" t="s">
        <v>327</v>
      </c>
      <c r="C308" s="9" t="s">
        <v>28</v>
      </c>
      <c r="D308" s="10">
        <v>347.63</v>
      </c>
      <c r="E308" s="10">
        <v>356.13</v>
      </c>
      <c r="F308" s="10">
        <v>27.6</v>
      </c>
      <c r="G308" s="9">
        <f t="shared" si="16"/>
        <v>93.980099999999979</v>
      </c>
      <c r="H308" s="13" t="s">
        <v>246</v>
      </c>
      <c r="I308" s="12"/>
      <c r="J308" s="7">
        <f>D308+8.5</f>
        <v>356.13</v>
      </c>
      <c r="K308">
        <f t="shared" si="17"/>
        <v>356.13</v>
      </c>
      <c r="L308" s="1"/>
      <c r="M308" s="1"/>
      <c r="N308" s="1"/>
      <c r="T308" s="1"/>
      <c r="U308" s="1"/>
      <c r="V308" s="1"/>
      <c r="W308" s="1"/>
      <c r="X308" s="1"/>
      <c r="Y308" s="1"/>
      <c r="Z308" s="1"/>
      <c r="AA308" s="1"/>
    </row>
    <row r="309" spans="1:27" ht="14" x14ac:dyDescent="0.15">
      <c r="A309" s="9">
        <v>308</v>
      </c>
      <c r="B309" s="9" t="s">
        <v>328</v>
      </c>
      <c r="C309" s="9" t="s">
        <v>16</v>
      </c>
      <c r="D309" s="10">
        <v>231.51</v>
      </c>
      <c r="E309" s="10">
        <v>231.51</v>
      </c>
      <c r="F309" s="10">
        <v>9.69</v>
      </c>
      <c r="G309" s="9">
        <f t="shared" si="16"/>
        <v>94.211609999999979</v>
      </c>
      <c r="H309" s="13" t="s">
        <v>246</v>
      </c>
      <c r="I309" s="12"/>
      <c r="K309">
        <f t="shared" si="17"/>
        <v>231.51</v>
      </c>
      <c r="L309" s="1"/>
      <c r="M309" s="1"/>
      <c r="N309" s="1"/>
      <c r="T309" s="1"/>
      <c r="U309" s="1"/>
      <c r="V309" s="1"/>
      <c r="W309" s="1"/>
      <c r="X309" s="1"/>
      <c r="Y309" s="1"/>
      <c r="Z309" s="1"/>
      <c r="AA309" s="1"/>
    </row>
    <row r="310" spans="1:27" ht="14" x14ac:dyDescent="0.15">
      <c r="A310" s="9">
        <v>309</v>
      </c>
      <c r="B310" s="9" t="s">
        <v>329</v>
      </c>
      <c r="C310" s="9" t="s">
        <v>23</v>
      </c>
      <c r="D310" s="10">
        <v>344.98</v>
      </c>
      <c r="E310" s="10">
        <v>344.98</v>
      </c>
      <c r="F310" s="10">
        <v>0.15</v>
      </c>
      <c r="G310" s="9">
        <f t="shared" si="16"/>
        <v>94.556589999999986</v>
      </c>
      <c r="H310" s="13" t="s">
        <v>246</v>
      </c>
      <c r="I310" s="12"/>
      <c r="K310">
        <f t="shared" si="17"/>
        <v>344.98</v>
      </c>
      <c r="L310" s="1"/>
      <c r="M310" s="1"/>
      <c r="N310" s="1"/>
      <c r="T310" s="1"/>
      <c r="U310" s="1"/>
      <c r="V310" s="1"/>
      <c r="W310" s="1"/>
      <c r="X310" s="1"/>
      <c r="Y310" s="1"/>
      <c r="Z310" s="1"/>
      <c r="AA310" s="1"/>
    </row>
    <row r="311" spans="1:27" ht="14" x14ac:dyDescent="0.15">
      <c r="A311" s="9">
        <v>310</v>
      </c>
      <c r="B311" s="9" t="s">
        <v>330</v>
      </c>
      <c r="C311" s="9" t="s">
        <v>23</v>
      </c>
      <c r="D311" s="10">
        <v>349.21</v>
      </c>
      <c r="E311" s="10">
        <v>349.21</v>
      </c>
      <c r="F311" s="10">
        <v>0.71</v>
      </c>
      <c r="G311" s="9">
        <f t="shared" si="16"/>
        <v>94.905799999999985</v>
      </c>
      <c r="H311" s="13" t="s">
        <v>246</v>
      </c>
      <c r="I311" s="12"/>
      <c r="K311">
        <f t="shared" si="17"/>
        <v>349.21</v>
      </c>
      <c r="L311" s="1"/>
      <c r="M311" s="1"/>
      <c r="N311" s="1"/>
      <c r="T311" s="1"/>
      <c r="U311" s="1"/>
      <c r="V311" s="1"/>
      <c r="W311" s="1"/>
      <c r="X311" s="1"/>
      <c r="Y311" s="1"/>
      <c r="Z311" s="1"/>
      <c r="AA311" s="1"/>
    </row>
    <row r="312" spans="1:27" ht="14" x14ac:dyDescent="0.15">
      <c r="A312" s="9">
        <v>311</v>
      </c>
      <c r="B312" s="9" t="s">
        <v>331</v>
      </c>
      <c r="C312" s="9" t="s">
        <v>23</v>
      </c>
      <c r="D312" s="10">
        <v>357.87</v>
      </c>
      <c r="E312" s="10">
        <v>357.87</v>
      </c>
      <c r="F312" s="10">
        <v>7.0000000000000007E-2</v>
      </c>
      <c r="G312" s="9">
        <f t="shared" si="16"/>
        <v>95.263669999999991</v>
      </c>
      <c r="H312" s="13" t="s">
        <v>246</v>
      </c>
      <c r="I312" s="12"/>
      <c r="K312">
        <f t="shared" si="17"/>
        <v>357.87</v>
      </c>
      <c r="L312" s="1"/>
      <c r="M312" s="1"/>
      <c r="N312" s="1"/>
      <c r="T312" s="1"/>
      <c r="U312" s="1"/>
      <c r="V312" s="1"/>
      <c r="W312" s="1"/>
      <c r="X312" s="1"/>
      <c r="Y312" s="1"/>
      <c r="Z312" s="1"/>
      <c r="AA312" s="1"/>
    </row>
    <row r="313" spans="1:27" ht="14" x14ac:dyDescent="0.15">
      <c r="A313" s="9">
        <v>312</v>
      </c>
      <c r="B313" s="9" t="s">
        <v>332</v>
      </c>
      <c r="C313" s="9" t="s">
        <v>19</v>
      </c>
      <c r="D313" s="10">
        <v>311.14999999999998</v>
      </c>
      <c r="E313" s="10">
        <v>319.64999999999998</v>
      </c>
      <c r="F313" s="10">
        <v>42.14</v>
      </c>
      <c r="G313" s="9">
        <f t="shared" si="16"/>
        <v>95.583319999999986</v>
      </c>
      <c r="H313" s="13" t="s">
        <v>246</v>
      </c>
      <c r="I313" s="12"/>
      <c r="J313" s="7">
        <f>D313+8.5</f>
        <v>319.64999999999998</v>
      </c>
      <c r="K313">
        <f t="shared" si="17"/>
        <v>319.64999999999998</v>
      </c>
      <c r="L313" s="1"/>
      <c r="M313" s="1"/>
      <c r="N313" s="1"/>
      <c r="T313" s="1"/>
      <c r="U313" s="1"/>
      <c r="V313" s="1"/>
      <c r="W313" s="1"/>
      <c r="X313" s="1"/>
      <c r="Y313" s="1"/>
      <c r="Z313" s="1"/>
      <c r="AA313" s="1"/>
    </row>
    <row r="314" spans="1:27" ht="14" x14ac:dyDescent="0.15">
      <c r="A314" s="9">
        <v>313</v>
      </c>
      <c r="B314" s="9" t="s">
        <v>333</v>
      </c>
      <c r="C314" s="9" t="s">
        <v>23</v>
      </c>
      <c r="D314" s="10">
        <v>298.14</v>
      </c>
      <c r="E314" s="10">
        <v>298.14</v>
      </c>
      <c r="F314" s="10">
        <v>0.63</v>
      </c>
      <c r="G314" s="9">
        <f t="shared" si="16"/>
        <v>95.88145999999999</v>
      </c>
      <c r="H314" s="13" t="s">
        <v>246</v>
      </c>
      <c r="I314" s="12"/>
      <c r="K314">
        <f t="shared" si="17"/>
        <v>298.14</v>
      </c>
      <c r="L314" s="1"/>
      <c r="M314" s="1"/>
      <c r="N314" s="1"/>
      <c r="T314" s="1"/>
      <c r="U314" s="1"/>
      <c r="V314" s="1"/>
      <c r="W314" s="1"/>
      <c r="X314" s="1"/>
      <c r="Y314" s="1"/>
      <c r="Z314" s="1"/>
      <c r="AA314" s="1"/>
    </row>
    <row r="315" spans="1:27" ht="14" x14ac:dyDescent="0.15">
      <c r="A315" s="9">
        <v>314</v>
      </c>
      <c r="B315" s="9" t="s">
        <v>334</v>
      </c>
      <c r="C315" s="9" t="s">
        <v>23</v>
      </c>
      <c r="D315" s="10">
        <v>301.08999999999997</v>
      </c>
      <c r="E315" s="10">
        <v>301.08999999999997</v>
      </c>
      <c r="F315" s="10">
        <v>1.22</v>
      </c>
      <c r="G315" s="9">
        <f t="shared" si="16"/>
        <v>96.182549999999992</v>
      </c>
      <c r="H315" s="13" t="s">
        <v>246</v>
      </c>
      <c r="I315" s="12"/>
      <c r="K315">
        <f t="shared" si="17"/>
        <v>301.08999999999997</v>
      </c>
      <c r="L315" s="1"/>
      <c r="M315" s="1"/>
      <c r="N315" s="1"/>
      <c r="T315" s="1"/>
      <c r="U315" s="1"/>
      <c r="V315" s="1"/>
      <c r="W315" s="1"/>
      <c r="X315" s="1"/>
      <c r="Y315" s="1"/>
      <c r="Z315" s="1"/>
      <c r="AA315" s="1"/>
    </row>
    <row r="316" spans="1:27" ht="14" x14ac:dyDescent="0.15">
      <c r="A316" s="9">
        <v>315</v>
      </c>
      <c r="B316" s="9" t="s">
        <v>335</v>
      </c>
      <c r="C316" s="9" t="s">
        <v>23</v>
      </c>
      <c r="D316" s="10">
        <v>263.99</v>
      </c>
      <c r="E316" s="10">
        <v>263.99</v>
      </c>
      <c r="F316" s="10">
        <v>1.54</v>
      </c>
      <c r="G316" s="9">
        <f t="shared" si="16"/>
        <v>96.446539999999999</v>
      </c>
      <c r="H316" s="13" t="s">
        <v>246</v>
      </c>
      <c r="I316" s="12"/>
      <c r="K316">
        <f t="shared" si="17"/>
        <v>263.99</v>
      </c>
      <c r="L316" s="1"/>
      <c r="M316" s="1"/>
      <c r="N316" s="1"/>
      <c r="T316" s="1"/>
      <c r="U316" s="1"/>
      <c r="V316" s="1"/>
      <c r="W316" s="1"/>
      <c r="X316" s="1"/>
      <c r="Y316" s="1"/>
      <c r="Z316" s="1"/>
      <c r="AA316" s="1"/>
    </row>
    <row r="317" spans="1:27" ht="14" x14ac:dyDescent="0.15">
      <c r="A317" s="9">
        <v>316</v>
      </c>
      <c r="B317" s="9" t="s">
        <v>336</v>
      </c>
      <c r="C317" s="9" t="s">
        <v>23</v>
      </c>
      <c r="D317" s="10">
        <v>328.2</v>
      </c>
      <c r="E317" s="10">
        <v>328.2</v>
      </c>
      <c r="F317" s="10">
        <v>0.24</v>
      </c>
      <c r="G317" s="9">
        <f t="shared" si="16"/>
        <v>96.774739999999994</v>
      </c>
      <c r="H317" s="13" t="s">
        <v>246</v>
      </c>
      <c r="I317" s="12"/>
      <c r="K317">
        <f t="shared" si="17"/>
        <v>328.2</v>
      </c>
      <c r="L317" s="1"/>
      <c r="M317" s="1"/>
      <c r="N317" s="1"/>
      <c r="T317" s="1"/>
      <c r="U317" s="1"/>
      <c r="V317" s="1"/>
      <c r="W317" s="1"/>
      <c r="X317" s="1"/>
      <c r="Y317" s="1"/>
      <c r="Z317" s="1"/>
      <c r="AA317" s="1"/>
    </row>
    <row r="318" spans="1:27" ht="14" x14ac:dyDescent="0.15">
      <c r="A318" s="9">
        <v>317</v>
      </c>
      <c r="B318" s="9" t="s">
        <v>337</v>
      </c>
      <c r="C318" s="9" t="s">
        <v>19</v>
      </c>
      <c r="D318" s="10">
        <v>322.07</v>
      </c>
      <c r="E318" s="10">
        <v>330.57</v>
      </c>
      <c r="F318" s="10">
        <v>34.4</v>
      </c>
      <c r="G318" s="9">
        <f t="shared" si="16"/>
        <v>97.105309999999989</v>
      </c>
      <c r="H318" s="13" t="s">
        <v>246</v>
      </c>
      <c r="I318" s="12"/>
      <c r="J318" s="7">
        <f>D318+8.5</f>
        <v>330.57</v>
      </c>
      <c r="K318">
        <f t="shared" si="17"/>
        <v>330.57</v>
      </c>
      <c r="L318" s="1"/>
      <c r="M318" s="1"/>
      <c r="N318" s="1"/>
      <c r="T318" s="1"/>
      <c r="U318" s="1"/>
      <c r="V318" s="1"/>
      <c r="W318" s="1"/>
      <c r="X318" s="1"/>
      <c r="Y318" s="1"/>
      <c r="Z318" s="1"/>
      <c r="AA318" s="1"/>
    </row>
    <row r="319" spans="1:27" ht="14" x14ac:dyDescent="0.15">
      <c r="A319" s="9">
        <v>318</v>
      </c>
      <c r="B319" s="9" t="s">
        <v>338</v>
      </c>
      <c r="C319" s="9" t="s">
        <v>23</v>
      </c>
      <c r="D319" s="10">
        <v>317.33999999999997</v>
      </c>
      <c r="E319" s="10">
        <v>317.33999999999997</v>
      </c>
      <c r="F319" s="10">
        <v>3.05</v>
      </c>
      <c r="G319" s="9">
        <f t="shared" si="16"/>
        <v>97.42264999999999</v>
      </c>
      <c r="H319" s="13" t="s">
        <v>246</v>
      </c>
      <c r="I319" s="12"/>
      <c r="K319">
        <f t="shared" si="17"/>
        <v>317.33999999999997</v>
      </c>
      <c r="L319" s="1"/>
      <c r="M319" s="1"/>
      <c r="N319" s="1"/>
      <c r="T319" s="1"/>
      <c r="U319" s="1"/>
      <c r="V319" s="1"/>
      <c r="W319" s="1"/>
      <c r="X319" s="1"/>
      <c r="Y319" s="1"/>
      <c r="Z319" s="1"/>
      <c r="AA319" s="1"/>
    </row>
    <row r="320" spans="1:27" ht="14" x14ac:dyDescent="0.15">
      <c r="A320" s="9">
        <v>319</v>
      </c>
      <c r="B320" s="9" t="s">
        <v>339</v>
      </c>
      <c r="C320" s="9" t="s">
        <v>16</v>
      </c>
      <c r="D320" s="10">
        <v>307.69</v>
      </c>
      <c r="E320" s="10">
        <v>307.69</v>
      </c>
      <c r="F320" s="10">
        <v>5.89</v>
      </c>
      <c r="G320" s="9">
        <f t="shared" si="16"/>
        <v>97.730339999999984</v>
      </c>
      <c r="H320" s="13" t="s">
        <v>246</v>
      </c>
      <c r="I320" s="12"/>
      <c r="K320">
        <f t="shared" si="17"/>
        <v>307.69</v>
      </c>
      <c r="L320" s="1"/>
      <c r="M320" s="1"/>
      <c r="N320" s="1"/>
      <c r="T320" s="1"/>
      <c r="U320" s="1"/>
      <c r="V320" s="1"/>
      <c r="W320" s="1"/>
      <c r="X320" s="1"/>
      <c r="Y320" s="1"/>
      <c r="Z320" s="1"/>
      <c r="AA320" s="1"/>
    </row>
    <row r="321" spans="1:27" ht="14" x14ac:dyDescent="0.15">
      <c r="A321" s="9">
        <v>320</v>
      </c>
      <c r="B321" s="9" t="s">
        <v>340</v>
      </c>
      <c r="C321" s="9" t="s">
        <v>23</v>
      </c>
      <c r="D321" s="10">
        <v>352.26</v>
      </c>
      <c r="E321" s="10">
        <v>352.26</v>
      </c>
      <c r="F321" s="10">
        <v>0.08</v>
      </c>
      <c r="G321" s="9">
        <f t="shared" si="16"/>
        <v>98.082599999999985</v>
      </c>
      <c r="H321" s="13" t="s">
        <v>246</v>
      </c>
      <c r="I321" s="12"/>
      <c r="K321">
        <f t="shared" si="17"/>
        <v>352.26</v>
      </c>
      <c r="L321" s="1"/>
      <c r="M321" s="1"/>
      <c r="N321" s="1"/>
      <c r="T321" s="1"/>
      <c r="U321" s="1"/>
      <c r="V321" s="1"/>
      <c r="W321" s="1"/>
      <c r="X321" s="1"/>
      <c r="Y321" s="1"/>
      <c r="Z321" s="1"/>
      <c r="AA321" s="1"/>
    </row>
    <row r="322" spans="1:27" ht="14" x14ac:dyDescent="0.15">
      <c r="A322" s="9">
        <v>321</v>
      </c>
      <c r="B322" s="9" t="s">
        <v>341</v>
      </c>
      <c r="C322" s="9" t="s">
        <v>19</v>
      </c>
      <c r="D322" s="10">
        <v>354.79</v>
      </c>
      <c r="E322" s="10">
        <v>363.29</v>
      </c>
      <c r="F322" s="10">
        <v>54.07</v>
      </c>
      <c r="G322" s="9">
        <f t="shared" si="16"/>
        <v>98.445889999999991</v>
      </c>
      <c r="H322" s="13" t="s">
        <v>246</v>
      </c>
      <c r="I322" s="12"/>
      <c r="J322" s="7">
        <f>D322+8.5</f>
        <v>363.29</v>
      </c>
      <c r="K322">
        <f t="shared" si="17"/>
        <v>363.29</v>
      </c>
      <c r="L322" s="1"/>
      <c r="M322" s="1"/>
      <c r="N322" s="1"/>
      <c r="T322" s="1"/>
      <c r="U322" s="1"/>
      <c r="V322" s="1"/>
      <c r="W322" s="1"/>
      <c r="X322" s="1"/>
      <c r="Y322" s="1"/>
      <c r="Z322" s="1"/>
      <c r="AA322" s="1"/>
    </row>
    <row r="323" spans="1:27" ht="14" x14ac:dyDescent="0.15">
      <c r="A323" s="9">
        <v>322</v>
      </c>
      <c r="B323" s="9" t="s">
        <v>342</v>
      </c>
      <c r="C323" s="9" t="s">
        <v>23</v>
      </c>
      <c r="D323" s="10">
        <v>309.64999999999998</v>
      </c>
      <c r="E323" s="10">
        <v>309.64999999999998</v>
      </c>
      <c r="F323" s="10">
        <v>7.0000000000000007E-2</v>
      </c>
      <c r="G323" s="9">
        <f t="shared" si="16"/>
        <v>98.755539999999996</v>
      </c>
      <c r="H323" s="13" t="s">
        <v>246</v>
      </c>
      <c r="I323" s="12"/>
      <c r="K323">
        <f t="shared" si="17"/>
        <v>309.64999999999998</v>
      </c>
      <c r="L323" s="1"/>
      <c r="M323" s="1"/>
      <c r="N323" s="1"/>
      <c r="T323" s="1"/>
      <c r="U323" s="1"/>
      <c r="V323" s="1"/>
      <c r="W323" s="1"/>
      <c r="X323" s="1"/>
      <c r="Y323" s="1"/>
      <c r="Z323" s="1"/>
      <c r="AA323" s="1"/>
    </row>
    <row r="324" spans="1:27" ht="14" x14ac:dyDescent="0.15">
      <c r="A324" s="9">
        <v>323</v>
      </c>
      <c r="B324" s="9" t="s">
        <v>343</v>
      </c>
      <c r="C324" s="9" t="s">
        <v>23</v>
      </c>
      <c r="D324" s="10">
        <v>351.26</v>
      </c>
      <c r="E324" s="10">
        <v>351.26</v>
      </c>
      <c r="F324" s="10">
        <v>0.04</v>
      </c>
      <c r="G324" s="9">
        <f t="shared" ref="G324:G387" si="21">E324/1000+G323</f>
        <v>99.106799999999993</v>
      </c>
      <c r="H324" s="13" t="s">
        <v>246</v>
      </c>
      <c r="I324" s="12"/>
      <c r="K324">
        <f t="shared" ref="K324:K387" si="22">IF(J324&lt;&gt;"",J324,D324)</f>
        <v>351.26</v>
      </c>
      <c r="L324" s="1"/>
      <c r="M324" s="1"/>
      <c r="N324" s="1"/>
      <c r="T324" s="1"/>
      <c r="U324" s="1"/>
      <c r="V324" s="1"/>
      <c r="W324" s="1"/>
      <c r="X324" s="1"/>
      <c r="Y324" s="1"/>
      <c r="Z324" s="1"/>
      <c r="AA324" s="1"/>
    </row>
    <row r="325" spans="1:27" ht="14" x14ac:dyDescent="0.15">
      <c r="A325" s="9">
        <v>324</v>
      </c>
      <c r="B325" s="9" t="s">
        <v>344</v>
      </c>
      <c r="C325" s="9" t="s">
        <v>23</v>
      </c>
      <c r="D325" s="10">
        <v>316.45</v>
      </c>
      <c r="E325" s="10">
        <v>316.45</v>
      </c>
      <c r="F325" s="10">
        <v>0.24</v>
      </c>
      <c r="G325" s="9">
        <f t="shared" si="21"/>
        <v>99.423249999999996</v>
      </c>
      <c r="H325" s="13" t="s">
        <v>246</v>
      </c>
      <c r="I325" s="12"/>
      <c r="K325">
        <f t="shared" si="22"/>
        <v>316.45</v>
      </c>
      <c r="L325" s="1"/>
      <c r="M325" s="1"/>
      <c r="N325" s="1"/>
      <c r="T325" s="1"/>
      <c r="U325" s="1"/>
      <c r="V325" s="1"/>
      <c r="W325" s="1"/>
      <c r="X325" s="1"/>
      <c r="Y325" s="1"/>
      <c r="Z325" s="1"/>
      <c r="AA325" s="1"/>
    </row>
    <row r="326" spans="1:27" ht="14" x14ac:dyDescent="0.15">
      <c r="A326" s="9">
        <v>325</v>
      </c>
      <c r="B326" s="9" t="s">
        <v>345</v>
      </c>
      <c r="C326" s="9" t="s">
        <v>16</v>
      </c>
      <c r="D326" s="10">
        <v>284.39</v>
      </c>
      <c r="E326" s="10">
        <v>284.39</v>
      </c>
      <c r="F326" s="10">
        <v>8.64</v>
      </c>
      <c r="G326" s="9">
        <f t="shared" si="21"/>
        <v>99.707639999999998</v>
      </c>
      <c r="H326" s="13" t="s">
        <v>246</v>
      </c>
      <c r="I326" s="12"/>
      <c r="K326">
        <f t="shared" si="22"/>
        <v>284.39</v>
      </c>
      <c r="L326" s="1"/>
      <c r="M326" s="1"/>
      <c r="N326" s="1"/>
      <c r="T326" s="1"/>
      <c r="U326" s="1"/>
      <c r="V326" s="1"/>
      <c r="W326" s="1"/>
      <c r="X326" s="1"/>
      <c r="Y326" s="1"/>
      <c r="Z326" s="1"/>
      <c r="AA326" s="1"/>
    </row>
    <row r="327" spans="1:27" ht="14" x14ac:dyDescent="0.15">
      <c r="A327" s="9">
        <v>326</v>
      </c>
      <c r="B327" s="9" t="s">
        <v>346</v>
      </c>
      <c r="C327" s="9" t="s">
        <v>28</v>
      </c>
      <c r="D327" s="10">
        <v>266</v>
      </c>
      <c r="E327" s="10">
        <v>274.5</v>
      </c>
      <c r="F327" s="10">
        <v>20.38</v>
      </c>
      <c r="G327" s="9">
        <f t="shared" si="21"/>
        <v>99.982140000000001</v>
      </c>
      <c r="H327" s="13" t="s">
        <v>246</v>
      </c>
      <c r="I327" s="12"/>
      <c r="J327" s="7">
        <f>D327+8.5</f>
        <v>274.5</v>
      </c>
      <c r="K327">
        <f t="shared" si="22"/>
        <v>274.5</v>
      </c>
      <c r="L327" s="1"/>
      <c r="M327" s="1"/>
      <c r="N327" s="1"/>
      <c r="T327" s="1"/>
      <c r="U327" s="1"/>
      <c r="V327" s="1"/>
      <c r="W327" s="1"/>
      <c r="X327" s="1"/>
      <c r="Y327" s="1"/>
      <c r="Z327" s="1"/>
      <c r="AA327" s="1"/>
    </row>
    <row r="328" spans="1:27" ht="14" x14ac:dyDescent="0.15">
      <c r="A328" s="9">
        <v>327</v>
      </c>
      <c r="B328" s="9" t="s">
        <v>347</v>
      </c>
      <c r="C328" s="9" t="s">
        <v>23</v>
      </c>
      <c r="D328" s="10">
        <v>276.70999999999998</v>
      </c>
      <c r="E328" s="10">
        <v>276.70999999999998</v>
      </c>
      <c r="F328" s="10">
        <v>2.23</v>
      </c>
      <c r="G328" s="9">
        <f t="shared" si="21"/>
        <v>100.25885</v>
      </c>
      <c r="H328" s="13" t="s">
        <v>246</v>
      </c>
      <c r="I328" s="12"/>
      <c r="K328">
        <f t="shared" si="22"/>
        <v>276.70999999999998</v>
      </c>
      <c r="L328" s="1"/>
      <c r="M328" s="1"/>
      <c r="N328" s="1"/>
      <c r="T328" s="1"/>
      <c r="U328" s="1"/>
      <c r="V328" s="1"/>
      <c r="W328" s="1"/>
      <c r="X328" s="1"/>
      <c r="Y328" s="1"/>
      <c r="Z328" s="1"/>
      <c r="AA328" s="1"/>
    </row>
    <row r="329" spans="1:27" ht="14" x14ac:dyDescent="0.15">
      <c r="A329" s="9">
        <v>328</v>
      </c>
      <c r="B329" s="9" t="s">
        <v>348</v>
      </c>
      <c r="C329" s="9" t="s">
        <v>23</v>
      </c>
      <c r="D329" s="10">
        <v>278.97000000000003</v>
      </c>
      <c r="E329" s="10">
        <v>278.97000000000003</v>
      </c>
      <c r="F329" s="10">
        <v>0.69</v>
      </c>
      <c r="G329" s="9">
        <f t="shared" si="21"/>
        <v>100.53782</v>
      </c>
      <c r="H329" s="13" t="s">
        <v>246</v>
      </c>
      <c r="I329" s="12"/>
      <c r="K329">
        <f t="shared" si="22"/>
        <v>278.97000000000003</v>
      </c>
      <c r="L329" s="1"/>
      <c r="M329" s="1"/>
      <c r="N329" s="1"/>
      <c r="T329" s="1"/>
      <c r="U329" s="1"/>
      <c r="V329" s="1"/>
      <c r="W329" s="1"/>
      <c r="X329" s="1"/>
      <c r="Y329" s="1"/>
      <c r="Z329" s="1"/>
      <c r="AA329" s="1"/>
    </row>
    <row r="330" spans="1:27" ht="14" x14ac:dyDescent="0.15">
      <c r="A330" s="9">
        <v>329</v>
      </c>
      <c r="B330" s="9" t="s">
        <v>349</v>
      </c>
      <c r="C330" s="9" t="s">
        <v>19</v>
      </c>
      <c r="D330" s="10">
        <v>301.86</v>
      </c>
      <c r="E330" s="10">
        <v>310.36</v>
      </c>
      <c r="F330" s="10">
        <v>40.67</v>
      </c>
      <c r="G330" s="9">
        <f t="shared" si="21"/>
        <v>100.84818</v>
      </c>
      <c r="H330" s="13" t="s">
        <v>246</v>
      </c>
      <c r="I330" s="12"/>
      <c r="J330" s="7">
        <f>D330+8.5</f>
        <v>310.36</v>
      </c>
      <c r="K330">
        <f t="shared" si="22"/>
        <v>310.36</v>
      </c>
      <c r="L330" s="1"/>
      <c r="M330" s="1"/>
      <c r="N330" s="1"/>
      <c r="T330" s="1"/>
      <c r="U330" s="1"/>
      <c r="V330" s="1"/>
      <c r="W330" s="1"/>
      <c r="X330" s="1"/>
      <c r="Y330" s="1"/>
      <c r="Z330" s="1"/>
      <c r="AA330" s="1"/>
    </row>
    <row r="331" spans="1:27" ht="14" x14ac:dyDescent="0.15">
      <c r="A331" s="9">
        <v>330</v>
      </c>
      <c r="B331" s="9" t="s">
        <v>350</v>
      </c>
      <c r="C331" s="9" t="s">
        <v>23</v>
      </c>
      <c r="D331" s="10">
        <v>277.89999999999998</v>
      </c>
      <c r="E331" s="10">
        <v>277.89999999999998</v>
      </c>
      <c r="F331" s="10">
        <v>0.22</v>
      </c>
      <c r="G331" s="9">
        <f t="shared" si="21"/>
        <v>101.12608</v>
      </c>
      <c r="H331" s="13" t="s">
        <v>246</v>
      </c>
      <c r="I331" s="12"/>
      <c r="K331">
        <f t="shared" si="22"/>
        <v>277.89999999999998</v>
      </c>
      <c r="L331" s="1"/>
      <c r="M331" s="1"/>
      <c r="N331" s="1"/>
      <c r="T331" s="1"/>
      <c r="U331" s="1"/>
      <c r="V331" s="1"/>
      <c r="W331" s="1"/>
      <c r="X331" s="1"/>
      <c r="Y331" s="1"/>
      <c r="Z331" s="1"/>
      <c r="AA331" s="1"/>
    </row>
    <row r="332" spans="1:27" ht="14" x14ac:dyDescent="0.15">
      <c r="A332" s="9">
        <v>331</v>
      </c>
      <c r="B332" s="9" t="s">
        <v>351</v>
      </c>
      <c r="C332" s="9" t="s">
        <v>23</v>
      </c>
      <c r="D332" s="10">
        <v>341.9</v>
      </c>
      <c r="E332" s="10">
        <v>341.9</v>
      </c>
      <c r="F332" s="10">
        <v>0.03</v>
      </c>
      <c r="G332" s="9">
        <f t="shared" si="21"/>
        <v>101.46798</v>
      </c>
      <c r="H332" s="13" t="s">
        <v>246</v>
      </c>
      <c r="I332" s="12"/>
      <c r="K332">
        <f t="shared" si="22"/>
        <v>341.9</v>
      </c>
      <c r="L332" s="1"/>
      <c r="M332" s="1"/>
      <c r="N332" s="1"/>
      <c r="T332" s="1"/>
      <c r="U332" s="1"/>
      <c r="V332" s="1"/>
      <c r="W332" s="1"/>
      <c r="X332" s="1"/>
      <c r="Y332" s="1"/>
      <c r="Z332" s="1"/>
      <c r="AA332" s="1"/>
    </row>
    <row r="333" spans="1:27" ht="14" x14ac:dyDescent="0.15">
      <c r="A333" s="9">
        <v>332</v>
      </c>
      <c r="B333" s="9" t="s">
        <v>352</v>
      </c>
      <c r="C333" s="9" t="s">
        <v>23</v>
      </c>
      <c r="D333" s="10">
        <v>324.19</v>
      </c>
      <c r="E333" s="10">
        <v>324.19</v>
      </c>
      <c r="F333" s="10">
        <v>0.17</v>
      </c>
      <c r="G333" s="9">
        <f t="shared" si="21"/>
        <v>101.79217</v>
      </c>
      <c r="H333" s="13" t="s">
        <v>246</v>
      </c>
      <c r="I333" s="12"/>
      <c r="K333">
        <f t="shared" si="22"/>
        <v>324.19</v>
      </c>
      <c r="L333" s="1"/>
      <c r="M333" s="1"/>
      <c r="N333" s="1"/>
      <c r="T333" s="1"/>
      <c r="U333" s="1"/>
      <c r="V333" s="1"/>
      <c r="W333" s="1"/>
      <c r="X333" s="1"/>
      <c r="Y333" s="1"/>
      <c r="Z333" s="1"/>
      <c r="AA333" s="1"/>
    </row>
    <row r="334" spans="1:27" ht="14" x14ac:dyDescent="0.15">
      <c r="A334" s="9">
        <v>333</v>
      </c>
      <c r="B334" s="9" t="s">
        <v>353</v>
      </c>
      <c r="C334" s="9" t="s">
        <v>23</v>
      </c>
      <c r="D334" s="10">
        <v>271.10000000000002</v>
      </c>
      <c r="E334" s="10">
        <v>271.10000000000002</v>
      </c>
      <c r="F334" s="10">
        <v>0.46</v>
      </c>
      <c r="G334" s="9">
        <f t="shared" si="21"/>
        <v>102.06327</v>
      </c>
      <c r="H334" s="13" t="s">
        <v>246</v>
      </c>
      <c r="I334" s="12"/>
      <c r="K334">
        <f t="shared" si="22"/>
        <v>271.10000000000002</v>
      </c>
      <c r="L334" s="1"/>
      <c r="M334" s="1"/>
      <c r="N334" s="1"/>
      <c r="T334" s="1"/>
      <c r="U334" s="1"/>
      <c r="V334" s="1"/>
      <c r="W334" s="1"/>
      <c r="X334" s="1"/>
      <c r="Y334" s="1"/>
      <c r="Z334" s="1"/>
      <c r="AA334" s="1"/>
    </row>
    <row r="335" spans="1:27" ht="14" x14ac:dyDescent="0.15">
      <c r="A335" s="9">
        <v>334</v>
      </c>
      <c r="B335" s="9" t="s">
        <v>354</v>
      </c>
      <c r="C335" s="9" t="s">
        <v>16</v>
      </c>
      <c r="D335" s="10">
        <v>352.08</v>
      </c>
      <c r="E335" s="10">
        <v>352.08</v>
      </c>
      <c r="F335" s="10">
        <v>9.09</v>
      </c>
      <c r="G335" s="9">
        <f t="shared" si="21"/>
        <v>102.41535</v>
      </c>
      <c r="H335" s="13" t="s">
        <v>246</v>
      </c>
      <c r="I335" s="12"/>
      <c r="K335">
        <f t="shared" si="22"/>
        <v>352.08</v>
      </c>
      <c r="L335" s="1"/>
      <c r="M335" s="1"/>
      <c r="N335" s="1"/>
      <c r="T335" s="1"/>
      <c r="U335" s="1"/>
      <c r="V335" s="1"/>
      <c r="W335" s="1"/>
      <c r="X335" s="1"/>
      <c r="Y335" s="1"/>
      <c r="Z335" s="1"/>
      <c r="AA335" s="1"/>
    </row>
    <row r="336" spans="1:27" ht="14" x14ac:dyDescent="0.15">
      <c r="A336" s="9">
        <v>335</v>
      </c>
      <c r="B336" s="9" t="s">
        <v>355</v>
      </c>
      <c r="C336" s="9" t="s">
        <v>23</v>
      </c>
      <c r="D336" s="10">
        <v>328.9</v>
      </c>
      <c r="E336" s="10">
        <v>328.9</v>
      </c>
      <c r="F336" s="10">
        <v>1.28</v>
      </c>
      <c r="G336" s="9">
        <f t="shared" si="21"/>
        <v>102.74425000000001</v>
      </c>
      <c r="H336" s="13" t="s">
        <v>246</v>
      </c>
      <c r="I336" s="12"/>
      <c r="K336">
        <f t="shared" si="22"/>
        <v>328.9</v>
      </c>
      <c r="L336" s="1"/>
      <c r="M336" s="1"/>
      <c r="N336" s="1"/>
      <c r="T336" s="1"/>
      <c r="U336" s="1"/>
      <c r="V336" s="1"/>
      <c r="W336" s="1"/>
      <c r="X336" s="1"/>
      <c r="Y336" s="1"/>
      <c r="Z336" s="1"/>
      <c r="AA336" s="1"/>
    </row>
    <row r="337" spans="1:27" ht="14" x14ac:dyDescent="0.15">
      <c r="A337" s="9">
        <v>336</v>
      </c>
      <c r="B337" s="9" t="s">
        <v>356</v>
      </c>
      <c r="C337" s="9" t="s">
        <v>23</v>
      </c>
      <c r="D337" s="10">
        <v>363.54</v>
      </c>
      <c r="E337" s="10">
        <v>363.54</v>
      </c>
      <c r="F337" s="10">
        <v>0.49</v>
      </c>
      <c r="G337" s="9">
        <f t="shared" si="21"/>
        <v>103.10779000000001</v>
      </c>
      <c r="H337" s="13" t="s">
        <v>246</v>
      </c>
      <c r="I337" s="12"/>
      <c r="K337">
        <f t="shared" si="22"/>
        <v>363.54</v>
      </c>
      <c r="L337" s="1"/>
      <c r="M337" s="1"/>
      <c r="N337" s="1"/>
      <c r="T337" s="1"/>
      <c r="U337" s="1"/>
      <c r="V337" s="1"/>
      <c r="W337" s="1"/>
      <c r="X337" s="1"/>
      <c r="Y337" s="1"/>
      <c r="Z337" s="1"/>
      <c r="AA337" s="1"/>
    </row>
    <row r="338" spans="1:27" ht="14" x14ac:dyDescent="0.15">
      <c r="A338" s="9">
        <v>337</v>
      </c>
      <c r="B338" s="9" t="s">
        <v>357</v>
      </c>
      <c r="C338" s="9" t="s">
        <v>28</v>
      </c>
      <c r="D338" s="10">
        <v>315.36</v>
      </c>
      <c r="E338" s="10">
        <v>323.86</v>
      </c>
      <c r="F338" s="10">
        <v>15.97</v>
      </c>
      <c r="G338" s="9">
        <f t="shared" si="21"/>
        <v>103.43165</v>
      </c>
      <c r="H338" s="13" t="s">
        <v>246</v>
      </c>
      <c r="I338" s="12"/>
      <c r="J338" s="7">
        <f>D338+8.5</f>
        <v>323.86</v>
      </c>
      <c r="K338">
        <f t="shared" si="22"/>
        <v>323.86</v>
      </c>
      <c r="L338" s="1"/>
      <c r="M338" s="1"/>
      <c r="N338" s="1"/>
      <c r="T338" s="1"/>
      <c r="U338" s="1"/>
      <c r="V338" s="1"/>
      <c r="W338" s="1"/>
      <c r="X338" s="1"/>
      <c r="Y338" s="1"/>
      <c r="Z338" s="1"/>
      <c r="AA338" s="1"/>
    </row>
    <row r="339" spans="1:27" ht="14" x14ac:dyDescent="0.15">
      <c r="A339" s="9">
        <v>338</v>
      </c>
      <c r="B339" s="9" t="s">
        <v>358</v>
      </c>
      <c r="C339" s="9" t="s">
        <v>23</v>
      </c>
      <c r="D339" s="10">
        <v>349.86</v>
      </c>
      <c r="E339" s="10">
        <v>349.86</v>
      </c>
      <c r="F339" s="10">
        <v>0.48</v>
      </c>
      <c r="G339" s="9">
        <f t="shared" si="21"/>
        <v>103.78151000000001</v>
      </c>
      <c r="H339" s="13" t="s">
        <v>246</v>
      </c>
      <c r="I339" s="12"/>
      <c r="K339">
        <f t="shared" si="22"/>
        <v>349.86</v>
      </c>
      <c r="L339" s="1"/>
      <c r="M339" s="1"/>
      <c r="N339" s="1"/>
      <c r="T339" s="1"/>
      <c r="U339" s="1"/>
      <c r="V339" s="1"/>
      <c r="W339" s="1"/>
      <c r="X339" s="1"/>
      <c r="Y339" s="1"/>
      <c r="Z339" s="1"/>
      <c r="AA339" s="1"/>
    </row>
    <row r="340" spans="1:27" ht="14" x14ac:dyDescent="0.15">
      <c r="A340" s="9">
        <v>339</v>
      </c>
      <c r="B340" s="9" t="s">
        <v>359</v>
      </c>
      <c r="C340" s="9" t="s">
        <v>23</v>
      </c>
      <c r="D340" s="10">
        <v>335.78</v>
      </c>
      <c r="E340" s="10">
        <v>335.78</v>
      </c>
      <c r="F340" s="10">
        <v>0.03</v>
      </c>
      <c r="G340" s="9">
        <f t="shared" si="21"/>
        <v>104.11729000000001</v>
      </c>
      <c r="H340" s="13" t="s">
        <v>246</v>
      </c>
      <c r="I340" s="12"/>
      <c r="K340">
        <f t="shared" si="22"/>
        <v>335.78</v>
      </c>
      <c r="L340" s="1"/>
      <c r="M340" s="1"/>
      <c r="N340" s="1"/>
      <c r="T340" s="1"/>
      <c r="U340" s="1"/>
      <c r="V340" s="1"/>
      <c r="W340" s="1"/>
      <c r="X340" s="1"/>
      <c r="Y340" s="1"/>
      <c r="Z340" s="1"/>
      <c r="AA340" s="1"/>
    </row>
    <row r="341" spans="1:27" ht="14" x14ac:dyDescent="0.15">
      <c r="A341" s="9">
        <v>340</v>
      </c>
      <c r="B341" s="9" t="s">
        <v>360</v>
      </c>
      <c r="C341" s="9" t="s">
        <v>23</v>
      </c>
      <c r="D341" s="10">
        <v>329.78</v>
      </c>
      <c r="E341" s="10">
        <v>329.78</v>
      </c>
      <c r="F341" s="10">
        <v>0.63</v>
      </c>
      <c r="G341" s="9">
        <f t="shared" si="21"/>
        <v>104.44707000000001</v>
      </c>
      <c r="H341" s="13" t="s">
        <v>246</v>
      </c>
      <c r="I341" s="12"/>
      <c r="K341">
        <f t="shared" si="22"/>
        <v>329.78</v>
      </c>
      <c r="L341" s="1"/>
      <c r="M341" s="1"/>
      <c r="N341" s="1"/>
      <c r="T341" s="1"/>
      <c r="U341" s="1"/>
      <c r="V341" s="1"/>
      <c r="W341" s="1"/>
      <c r="X341" s="1"/>
      <c r="Y341" s="1"/>
      <c r="Z341" s="1"/>
      <c r="AA341" s="1"/>
    </row>
    <row r="342" spans="1:27" ht="14" x14ac:dyDescent="0.15">
      <c r="A342" s="9">
        <v>341</v>
      </c>
      <c r="B342" s="9" t="s">
        <v>361</v>
      </c>
      <c r="C342" s="9" t="s">
        <v>23</v>
      </c>
      <c r="D342" s="10">
        <v>349.52</v>
      </c>
      <c r="E342" s="10">
        <v>349.52</v>
      </c>
      <c r="F342" s="10">
        <v>0.28999999999999998</v>
      </c>
      <c r="G342" s="9">
        <f t="shared" si="21"/>
        <v>104.79659000000001</v>
      </c>
      <c r="H342" s="13" t="s">
        <v>246</v>
      </c>
      <c r="I342" s="12"/>
      <c r="K342">
        <f t="shared" si="22"/>
        <v>349.52</v>
      </c>
      <c r="L342" s="1"/>
      <c r="M342" s="1"/>
      <c r="N342" s="1"/>
      <c r="T342" s="1"/>
      <c r="U342" s="1"/>
      <c r="V342" s="1"/>
      <c r="W342" s="1"/>
      <c r="X342" s="1"/>
      <c r="Y342" s="1"/>
      <c r="Z342" s="1"/>
      <c r="AA342" s="1"/>
    </row>
    <row r="343" spans="1:27" ht="14" x14ac:dyDescent="0.15">
      <c r="A343" s="9">
        <v>342</v>
      </c>
      <c r="B343" s="9" t="s">
        <v>362</v>
      </c>
      <c r="C343" s="9" t="s">
        <v>23</v>
      </c>
      <c r="D343" s="10">
        <v>261.87</v>
      </c>
      <c r="E343" s="10">
        <v>261.87</v>
      </c>
      <c r="F343" s="10">
        <v>0.37</v>
      </c>
      <c r="G343" s="9">
        <f t="shared" si="21"/>
        <v>105.05846000000001</v>
      </c>
      <c r="H343" s="13" t="s">
        <v>246</v>
      </c>
      <c r="I343" s="12"/>
      <c r="K343">
        <f t="shared" si="22"/>
        <v>261.87</v>
      </c>
      <c r="L343" s="1"/>
      <c r="M343" s="1"/>
      <c r="N343" s="1"/>
      <c r="T343" s="1"/>
      <c r="U343" s="1"/>
      <c r="V343" s="1"/>
      <c r="W343" s="1"/>
      <c r="X343" s="1"/>
      <c r="Y343" s="1"/>
      <c r="Z343" s="1"/>
      <c r="AA343" s="1"/>
    </row>
    <row r="344" spans="1:27" ht="14" x14ac:dyDescent="0.15">
      <c r="A344" s="9">
        <v>343</v>
      </c>
      <c r="B344" s="9" t="s">
        <v>363</v>
      </c>
      <c r="C344" s="9" t="s">
        <v>16</v>
      </c>
      <c r="D344" s="10">
        <v>284.08</v>
      </c>
      <c r="E344" s="10">
        <v>284.08</v>
      </c>
      <c r="F344" s="10">
        <v>12.3</v>
      </c>
      <c r="G344" s="9">
        <f t="shared" si="21"/>
        <v>105.34254000000001</v>
      </c>
      <c r="H344" s="13" t="s">
        <v>246</v>
      </c>
      <c r="I344" s="12"/>
      <c r="K344">
        <f t="shared" si="22"/>
        <v>284.08</v>
      </c>
      <c r="L344" s="1"/>
      <c r="M344" s="1"/>
      <c r="N344" s="1"/>
      <c r="T344" s="1"/>
      <c r="U344" s="1"/>
      <c r="V344" s="1"/>
      <c r="W344" s="1"/>
      <c r="X344" s="1"/>
      <c r="Y344" s="1"/>
      <c r="Z344" s="1"/>
      <c r="AA344" s="1"/>
    </row>
    <row r="345" spans="1:27" ht="14" x14ac:dyDescent="0.15">
      <c r="A345" s="9">
        <v>344</v>
      </c>
      <c r="B345" s="9" t="s">
        <v>364</v>
      </c>
      <c r="C345" s="9" t="s">
        <v>23</v>
      </c>
      <c r="D345" s="10">
        <v>301.58999999999997</v>
      </c>
      <c r="E345" s="10">
        <v>301.58999999999997</v>
      </c>
      <c r="F345" s="10">
        <v>1.1100000000000001</v>
      </c>
      <c r="G345" s="9">
        <f t="shared" si="21"/>
        <v>105.64413000000002</v>
      </c>
      <c r="H345" s="13" t="s">
        <v>246</v>
      </c>
      <c r="I345" s="12"/>
      <c r="K345">
        <f t="shared" si="22"/>
        <v>301.58999999999997</v>
      </c>
      <c r="L345" s="1"/>
      <c r="M345" s="1"/>
      <c r="N345" s="1"/>
      <c r="T345" s="1"/>
      <c r="U345" s="1"/>
      <c r="V345" s="1"/>
      <c r="W345" s="1"/>
      <c r="X345" s="1"/>
      <c r="Y345" s="1"/>
      <c r="Z345" s="1"/>
      <c r="AA345" s="1"/>
    </row>
    <row r="346" spans="1:27" ht="14" x14ac:dyDescent="0.15">
      <c r="A346" s="9">
        <v>345</v>
      </c>
      <c r="B346" s="9" t="s">
        <v>365</v>
      </c>
      <c r="C346" s="9" t="s">
        <v>23</v>
      </c>
      <c r="D346" s="10">
        <v>282.11</v>
      </c>
      <c r="E346" s="10">
        <v>282.11</v>
      </c>
      <c r="F346" s="10">
        <v>0.25</v>
      </c>
      <c r="G346" s="9">
        <f t="shared" si="21"/>
        <v>105.92624000000002</v>
      </c>
      <c r="H346" s="13" t="s">
        <v>246</v>
      </c>
      <c r="I346" s="12"/>
      <c r="K346">
        <f t="shared" si="22"/>
        <v>282.11</v>
      </c>
      <c r="L346" s="1"/>
      <c r="M346" s="1"/>
      <c r="N346" s="1"/>
      <c r="T346" s="1"/>
      <c r="U346" s="1"/>
      <c r="V346" s="1"/>
      <c r="W346" s="1"/>
      <c r="X346" s="1"/>
      <c r="Y346" s="1"/>
      <c r="Z346" s="1"/>
      <c r="AA346" s="1"/>
    </row>
    <row r="347" spans="1:27" ht="14" x14ac:dyDescent="0.15">
      <c r="A347" s="9">
        <v>346</v>
      </c>
      <c r="B347" s="9" t="s">
        <v>366</v>
      </c>
      <c r="C347" s="9" t="s">
        <v>23</v>
      </c>
      <c r="D347" s="10">
        <v>327.96</v>
      </c>
      <c r="E347" s="10">
        <v>327.96</v>
      </c>
      <c r="F347" s="10">
        <v>0.11</v>
      </c>
      <c r="G347" s="9">
        <f t="shared" si="21"/>
        <v>106.25420000000003</v>
      </c>
      <c r="H347" s="13" t="s">
        <v>246</v>
      </c>
      <c r="I347" s="12"/>
      <c r="K347">
        <f t="shared" si="22"/>
        <v>327.96</v>
      </c>
      <c r="L347" s="1"/>
      <c r="M347" s="1"/>
      <c r="N347" s="1"/>
      <c r="T347" s="1"/>
      <c r="U347" s="1"/>
      <c r="V347" s="1"/>
      <c r="W347" s="1"/>
      <c r="X347" s="1"/>
      <c r="Y347" s="1"/>
      <c r="Z347" s="1"/>
      <c r="AA347" s="1"/>
    </row>
    <row r="348" spans="1:27" ht="14" x14ac:dyDescent="0.15">
      <c r="A348" s="9">
        <v>347</v>
      </c>
      <c r="B348" s="9" t="s">
        <v>367</v>
      </c>
      <c r="C348" s="9" t="s">
        <v>23</v>
      </c>
      <c r="D348" s="10">
        <v>314.14</v>
      </c>
      <c r="E348" s="10">
        <v>314.14</v>
      </c>
      <c r="F348" s="10">
        <v>0.33</v>
      </c>
      <c r="G348" s="9">
        <f t="shared" si="21"/>
        <v>106.56834000000002</v>
      </c>
      <c r="H348" s="13" t="s">
        <v>246</v>
      </c>
      <c r="I348" s="12"/>
      <c r="K348">
        <f t="shared" si="22"/>
        <v>314.14</v>
      </c>
      <c r="L348" s="1"/>
      <c r="M348" s="1"/>
      <c r="N348" s="1"/>
      <c r="T348" s="1"/>
      <c r="U348" s="1"/>
      <c r="V348" s="1"/>
      <c r="W348" s="1"/>
      <c r="X348" s="1"/>
      <c r="Y348" s="1"/>
      <c r="Z348" s="1"/>
      <c r="AA348" s="1"/>
    </row>
    <row r="349" spans="1:27" ht="14" x14ac:dyDescent="0.15">
      <c r="A349" s="9">
        <v>348</v>
      </c>
      <c r="B349" s="9" t="s">
        <v>368</v>
      </c>
      <c r="C349" s="9" t="s">
        <v>23</v>
      </c>
      <c r="D349" s="10">
        <v>330.9</v>
      </c>
      <c r="E349" s="10">
        <v>330.9</v>
      </c>
      <c r="F349" s="10">
        <v>0.57999999999999996</v>
      </c>
      <c r="G349" s="9">
        <f t="shared" si="21"/>
        <v>106.89924000000002</v>
      </c>
      <c r="H349" s="13" t="s">
        <v>246</v>
      </c>
      <c r="I349" s="12"/>
      <c r="K349">
        <f t="shared" si="22"/>
        <v>330.9</v>
      </c>
      <c r="L349" s="1"/>
      <c r="M349" s="1"/>
      <c r="N349" s="1"/>
      <c r="T349" s="1"/>
      <c r="U349" s="1"/>
      <c r="V349" s="1"/>
      <c r="W349" s="1"/>
      <c r="X349" s="1"/>
      <c r="Y349" s="1"/>
      <c r="Z349" s="1"/>
      <c r="AA349" s="1"/>
    </row>
    <row r="350" spans="1:27" ht="14" x14ac:dyDescent="0.15">
      <c r="A350" s="9">
        <v>349</v>
      </c>
      <c r="B350" s="9" t="s">
        <v>369</v>
      </c>
      <c r="C350" s="9" t="s">
        <v>23</v>
      </c>
      <c r="D350" s="10">
        <v>320.70999999999998</v>
      </c>
      <c r="E350" s="10">
        <v>320.70999999999998</v>
      </c>
      <c r="F350" s="10">
        <v>0.56000000000000005</v>
      </c>
      <c r="G350" s="9">
        <f t="shared" si="21"/>
        <v>107.21995000000003</v>
      </c>
      <c r="H350" s="13" t="s">
        <v>246</v>
      </c>
      <c r="I350" s="12"/>
      <c r="K350">
        <f t="shared" si="22"/>
        <v>320.70999999999998</v>
      </c>
      <c r="L350" s="1"/>
      <c r="M350" s="1"/>
      <c r="N350" s="1"/>
      <c r="T350" s="1"/>
      <c r="U350" s="1"/>
      <c r="V350" s="1"/>
      <c r="W350" s="1"/>
      <c r="X350" s="1"/>
      <c r="Y350" s="1"/>
      <c r="Z350" s="1"/>
      <c r="AA350" s="1"/>
    </row>
    <row r="351" spans="1:27" ht="14" x14ac:dyDescent="0.15">
      <c r="A351" s="9">
        <v>350</v>
      </c>
      <c r="B351" s="9" t="s">
        <v>370</v>
      </c>
      <c r="C351" s="9" t="s">
        <v>19</v>
      </c>
      <c r="D351" s="10">
        <v>304.70999999999998</v>
      </c>
      <c r="E351" s="10">
        <v>313.20999999999998</v>
      </c>
      <c r="F351" s="10">
        <v>52.21</v>
      </c>
      <c r="G351" s="9">
        <f t="shared" si="21"/>
        <v>107.53316000000002</v>
      </c>
      <c r="H351" s="13" t="s">
        <v>246</v>
      </c>
      <c r="I351" s="12"/>
      <c r="J351" s="7">
        <f>D351+8.5</f>
        <v>313.20999999999998</v>
      </c>
      <c r="K351">
        <f t="shared" si="22"/>
        <v>313.20999999999998</v>
      </c>
      <c r="L351" s="1"/>
      <c r="M351" s="1"/>
      <c r="N351" s="1"/>
      <c r="T351" s="1"/>
      <c r="U351" s="1"/>
      <c r="V351" s="1"/>
      <c r="W351" s="1"/>
      <c r="X351" s="1"/>
      <c r="Y351" s="1"/>
      <c r="Z351" s="1"/>
      <c r="AA351" s="1"/>
    </row>
    <row r="352" spans="1:27" ht="14" x14ac:dyDescent="0.15">
      <c r="A352" s="9">
        <v>351</v>
      </c>
      <c r="B352" s="9" t="s">
        <v>371</v>
      </c>
      <c r="C352" s="9" t="s">
        <v>16</v>
      </c>
      <c r="D352" s="10">
        <v>300.93</v>
      </c>
      <c r="E352" s="10">
        <v>300.93</v>
      </c>
      <c r="F352" s="10">
        <v>0.92</v>
      </c>
      <c r="G352" s="9">
        <f t="shared" si="21"/>
        <v>107.83409000000002</v>
      </c>
      <c r="H352" s="13" t="s">
        <v>246</v>
      </c>
      <c r="I352" s="12"/>
      <c r="K352">
        <f t="shared" si="22"/>
        <v>300.93</v>
      </c>
      <c r="L352" s="1"/>
      <c r="M352" s="1"/>
      <c r="N352" s="1"/>
      <c r="T352" s="1"/>
      <c r="U352" s="1"/>
      <c r="V352" s="1"/>
      <c r="W352" s="1"/>
      <c r="X352" s="1"/>
      <c r="Y352" s="1"/>
      <c r="Z352" s="1"/>
      <c r="AA352" s="1"/>
    </row>
    <row r="353" spans="1:27" ht="14" x14ac:dyDescent="0.15">
      <c r="A353" s="9">
        <v>352</v>
      </c>
      <c r="B353" s="9" t="s">
        <v>372</v>
      </c>
      <c r="C353" s="9" t="s">
        <v>19</v>
      </c>
      <c r="D353" s="10">
        <v>326.75</v>
      </c>
      <c r="E353" s="10">
        <v>335.25</v>
      </c>
      <c r="F353" s="10">
        <v>5.49</v>
      </c>
      <c r="G353" s="9">
        <f t="shared" si="21"/>
        <v>108.16934000000002</v>
      </c>
      <c r="H353" s="13" t="s">
        <v>246</v>
      </c>
      <c r="I353" s="12"/>
      <c r="J353" s="7">
        <f>D353+8.5</f>
        <v>335.25</v>
      </c>
      <c r="K353">
        <f t="shared" si="22"/>
        <v>335.25</v>
      </c>
      <c r="L353" s="1"/>
      <c r="M353" s="1"/>
      <c r="N353" s="1"/>
      <c r="T353" s="1"/>
      <c r="U353" s="1"/>
      <c r="V353" s="1"/>
      <c r="W353" s="1"/>
      <c r="X353" s="1"/>
      <c r="Y353" s="1"/>
      <c r="Z353" s="1"/>
      <c r="AA353" s="1"/>
    </row>
    <row r="354" spans="1:27" ht="14" x14ac:dyDescent="0.15">
      <c r="A354" s="9">
        <v>353</v>
      </c>
      <c r="B354" s="9" t="s">
        <v>373</v>
      </c>
      <c r="C354" s="9" t="s">
        <v>16</v>
      </c>
      <c r="D354" s="10">
        <v>310.18</v>
      </c>
      <c r="E354" s="10">
        <v>310.18</v>
      </c>
      <c r="F354" s="10">
        <v>14.42</v>
      </c>
      <c r="G354" s="9">
        <f t="shared" si="21"/>
        <v>108.47952000000002</v>
      </c>
      <c r="H354" s="13" t="s">
        <v>246</v>
      </c>
      <c r="I354" s="12"/>
      <c r="K354">
        <f t="shared" si="22"/>
        <v>310.18</v>
      </c>
      <c r="L354" s="1"/>
      <c r="M354" s="1"/>
      <c r="N354" s="1"/>
      <c r="T354" s="1"/>
      <c r="U354" s="1"/>
      <c r="V354" s="1"/>
      <c r="W354" s="1"/>
      <c r="X354" s="1"/>
      <c r="Y354" s="1"/>
      <c r="Z354" s="1"/>
      <c r="AA354" s="1"/>
    </row>
    <row r="355" spans="1:27" ht="14" x14ac:dyDescent="0.15">
      <c r="A355" s="9">
        <v>354</v>
      </c>
      <c r="B355" s="9" t="s">
        <v>374</v>
      </c>
      <c r="C355" s="9" t="s">
        <v>23</v>
      </c>
      <c r="D355" s="10">
        <v>305.12</v>
      </c>
      <c r="E355" s="10">
        <v>305.12</v>
      </c>
      <c r="F355" s="10">
        <v>3.96</v>
      </c>
      <c r="G355" s="9">
        <f t="shared" si="21"/>
        <v>108.78464000000002</v>
      </c>
      <c r="H355" s="13" t="s">
        <v>246</v>
      </c>
      <c r="I355" s="12"/>
      <c r="K355">
        <f t="shared" si="22"/>
        <v>305.12</v>
      </c>
      <c r="L355" s="1"/>
      <c r="M355" s="1"/>
      <c r="N355" s="1"/>
      <c r="T355" s="1"/>
      <c r="U355" s="1"/>
      <c r="V355" s="1"/>
      <c r="W355" s="1"/>
      <c r="X355" s="1"/>
      <c r="Y355" s="1"/>
      <c r="Z355" s="1"/>
      <c r="AA355" s="1"/>
    </row>
    <row r="356" spans="1:27" ht="14" x14ac:dyDescent="0.15">
      <c r="A356" s="9">
        <v>355</v>
      </c>
      <c r="B356" s="9" t="s">
        <v>375</v>
      </c>
      <c r="C356" s="9" t="s">
        <v>23</v>
      </c>
      <c r="D356" s="10">
        <v>290.16000000000003</v>
      </c>
      <c r="E356" s="10">
        <v>290.16000000000003</v>
      </c>
      <c r="F356" s="10">
        <v>6.97</v>
      </c>
      <c r="G356" s="9">
        <f t="shared" si="21"/>
        <v>109.07480000000002</v>
      </c>
      <c r="H356" s="13" t="s">
        <v>246</v>
      </c>
      <c r="I356" s="12"/>
      <c r="K356">
        <f t="shared" si="22"/>
        <v>290.16000000000003</v>
      </c>
      <c r="L356" s="1"/>
      <c r="M356" s="1"/>
      <c r="N356" s="1"/>
      <c r="T356" s="1"/>
      <c r="U356" s="1"/>
      <c r="V356" s="1"/>
      <c r="W356" s="1"/>
      <c r="X356" s="1"/>
      <c r="Y356" s="1"/>
      <c r="Z356" s="1"/>
      <c r="AA356" s="1"/>
    </row>
    <row r="357" spans="1:27" ht="14" x14ac:dyDescent="0.15">
      <c r="A357" s="9">
        <v>356</v>
      </c>
      <c r="B357" s="9" t="s">
        <v>376</v>
      </c>
      <c r="C357" s="9" t="s">
        <v>16</v>
      </c>
      <c r="D357" s="10">
        <v>91.82</v>
      </c>
      <c r="E357" s="10">
        <v>91.82</v>
      </c>
      <c r="F357" s="10">
        <v>5.01</v>
      </c>
      <c r="G357" s="9">
        <f t="shared" si="21"/>
        <v>109.16662000000002</v>
      </c>
      <c r="H357" s="13" t="s">
        <v>246</v>
      </c>
      <c r="I357" s="12"/>
      <c r="K357">
        <f t="shared" si="22"/>
        <v>91.82</v>
      </c>
      <c r="L357" s="1"/>
      <c r="M357" s="1"/>
      <c r="N357" s="1"/>
      <c r="T357" s="1"/>
      <c r="U357" s="1"/>
      <c r="V357" s="1"/>
      <c r="W357" s="1"/>
      <c r="X357" s="1"/>
      <c r="Y357" s="1"/>
      <c r="Z357" s="1"/>
      <c r="AA357" s="1"/>
    </row>
    <row r="358" spans="1:27" ht="14" x14ac:dyDescent="0.15">
      <c r="A358" s="9">
        <v>357</v>
      </c>
      <c r="B358" s="9" t="s">
        <v>377</v>
      </c>
      <c r="C358" s="9" t="s">
        <v>16</v>
      </c>
      <c r="D358" s="10">
        <v>247.93</v>
      </c>
      <c r="E358" s="10">
        <v>247.93</v>
      </c>
      <c r="F358" s="10">
        <v>3.95</v>
      </c>
      <c r="G358" s="9">
        <f t="shared" si="21"/>
        <v>109.41455000000002</v>
      </c>
      <c r="H358" s="13" t="s">
        <v>246</v>
      </c>
      <c r="I358" s="12"/>
      <c r="K358">
        <f t="shared" si="22"/>
        <v>247.93</v>
      </c>
      <c r="L358" s="1"/>
      <c r="M358" s="1"/>
      <c r="N358" s="1"/>
      <c r="T358" s="1"/>
      <c r="U358" s="1"/>
      <c r="V358" s="1"/>
      <c r="W358" s="1"/>
      <c r="X358" s="1"/>
      <c r="Y358" s="1"/>
      <c r="Z358" s="1"/>
      <c r="AA358" s="1"/>
    </row>
    <row r="359" spans="1:27" ht="14" x14ac:dyDescent="0.15">
      <c r="A359" s="9">
        <v>358</v>
      </c>
      <c r="B359" s="9" t="s">
        <v>378</v>
      </c>
      <c r="C359" s="9" t="s">
        <v>16</v>
      </c>
      <c r="D359" s="10">
        <v>312.54000000000002</v>
      </c>
      <c r="E359" s="10">
        <v>312.54000000000002</v>
      </c>
      <c r="F359" s="10">
        <v>0.17</v>
      </c>
      <c r="G359" s="9">
        <f t="shared" si="21"/>
        <v>109.72709000000002</v>
      </c>
      <c r="H359" s="13" t="s">
        <v>246</v>
      </c>
      <c r="I359" s="12"/>
      <c r="K359">
        <f t="shared" si="22"/>
        <v>312.54000000000002</v>
      </c>
      <c r="L359" s="1"/>
      <c r="M359" s="1"/>
      <c r="N359" s="1"/>
      <c r="T359" s="1"/>
      <c r="U359" s="1"/>
      <c r="V359" s="1"/>
      <c r="W359" s="1"/>
      <c r="X359" s="1"/>
      <c r="Y359" s="1"/>
      <c r="Z359" s="1"/>
      <c r="AA359" s="1"/>
    </row>
    <row r="360" spans="1:27" ht="14" x14ac:dyDescent="0.15">
      <c r="A360" s="9">
        <v>359</v>
      </c>
      <c r="B360" s="9" t="s">
        <v>379</v>
      </c>
      <c r="C360" s="9" t="s">
        <v>23</v>
      </c>
      <c r="D360" s="10">
        <v>353.86</v>
      </c>
      <c r="E360" s="10">
        <v>353.86</v>
      </c>
      <c r="F360" s="10">
        <v>0.55000000000000004</v>
      </c>
      <c r="G360" s="9">
        <f t="shared" si="21"/>
        <v>110.08095000000002</v>
      </c>
      <c r="H360" s="13" t="s">
        <v>246</v>
      </c>
      <c r="I360" s="12"/>
      <c r="K360">
        <f t="shared" si="22"/>
        <v>353.86</v>
      </c>
      <c r="L360" s="1"/>
      <c r="M360" s="1"/>
      <c r="N360" s="1"/>
      <c r="T360" s="1"/>
      <c r="U360" s="1"/>
      <c r="V360" s="1"/>
      <c r="W360" s="1"/>
      <c r="X360" s="1"/>
      <c r="Y360" s="1"/>
      <c r="Z360" s="1"/>
      <c r="AA360" s="1"/>
    </row>
    <row r="361" spans="1:27" ht="42" x14ac:dyDescent="0.15">
      <c r="A361" s="9">
        <v>360</v>
      </c>
      <c r="B361" s="9" t="s">
        <v>380</v>
      </c>
      <c r="C361" s="9" t="s">
        <v>28</v>
      </c>
      <c r="D361" s="10">
        <v>357.1</v>
      </c>
      <c r="E361" s="10">
        <v>365.6</v>
      </c>
      <c r="F361" s="10">
        <v>22.61</v>
      </c>
      <c r="G361" s="9">
        <f t="shared" si="21"/>
        <v>110.44655000000002</v>
      </c>
      <c r="H361" s="13" t="s">
        <v>381</v>
      </c>
      <c r="I361" s="12" t="s">
        <v>382</v>
      </c>
      <c r="J361" s="7">
        <f>D361+8.5</f>
        <v>365.6</v>
      </c>
      <c r="K361">
        <f t="shared" si="22"/>
        <v>365.6</v>
      </c>
      <c r="L361" s="1"/>
      <c r="M361" s="1"/>
      <c r="N361" s="1"/>
      <c r="T361" s="1"/>
      <c r="U361" s="1"/>
      <c r="V361" s="1"/>
      <c r="W361" s="1"/>
      <c r="X361" s="1"/>
      <c r="Y361" s="1"/>
      <c r="Z361" s="1"/>
      <c r="AA361" s="1"/>
    </row>
    <row r="362" spans="1:27" ht="14" x14ac:dyDescent="0.15">
      <c r="A362" s="9">
        <v>361</v>
      </c>
      <c r="B362" s="9" t="s">
        <v>383</v>
      </c>
      <c r="C362" s="9" t="s">
        <v>16</v>
      </c>
      <c r="D362" s="10">
        <v>242.6</v>
      </c>
      <c r="E362" s="10">
        <v>242.6</v>
      </c>
      <c r="F362" s="10">
        <v>3.32</v>
      </c>
      <c r="G362" s="9">
        <f t="shared" si="21"/>
        <v>110.68915000000001</v>
      </c>
      <c r="H362" s="13" t="s">
        <v>381</v>
      </c>
      <c r="I362" s="12"/>
      <c r="K362">
        <f t="shared" si="22"/>
        <v>242.6</v>
      </c>
      <c r="L362" s="1"/>
      <c r="M362" s="1"/>
      <c r="N362" s="1"/>
      <c r="T362" s="1"/>
      <c r="U362" s="1"/>
      <c r="V362" s="1"/>
      <c r="W362" s="1"/>
      <c r="X362" s="1"/>
      <c r="Y362" s="1"/>
      <c r="Z362" s="1"/>
      <c r="AA362" s="1"/>
    </row>
    <row r="363" spans="1:27" ht="14" x14ac:dyDescent="0.15">
      <c r="A363" s="9">
        <v>362</v>
      </c>
      <c r="B363" s="9" t="s">
        <v>384</v>
      </c>
      <c r="C363" s="9" t="s">
        <v>23</v>
      </c>
      <c r="D363" s="10">
        <v>310.99</v>
      </c>
      <c r="E363" s="10">
        <v>310.99</v>
      </c>
      <c r="F363" s="10">
        <v>1.1499999999999999</v>
      </c>
      <c r="G363" s="9">
        <f t="shared" si="21"/>
        <v>111.00014000000002</v>
      </c>
      <c r="H363" s="13" t="s">
        <v>381</v>
      </c>
      <c r="I363" s="12"/>
      <c r="K363">
        <f t="shared" si="22"/>
        <v>310.99</v>
      </c>
      <c r="L363" s="1"/>
      <c r="M363" s="1"/>
      <c r="N363" s="1"/>
      <c r="T363" s="1"/>
      <c r="U363" s="1"/>
      <c r="V363" s="1"/>
      <c r="W363" s="1"/>
      <c r="X363" s="1"/>
      <c r="Y363" s="1"/>
      <c r="Z363" s="1"/>
      <c r="AA363" s="1"/>
    </row>
    <row r="364" spans="1:27" ht="14" x14ac:dyDescent="0.15">
      <c r="A364" s="9">
        <v>363</v>
      </c>
      <c r="B364" s="9" t="s">
        <v>385</v>
      </c>
      <c r="C364" s="9" t="s">
        <v>23</v>
      </c>
      <c r="D364" s="10">
        <v>369.53</v>
      </c>
      <c r="E364" s="10">
        <v>369.53</v>
      </c>
      <c r="F364" s="10">
        <v>0.12</v>
      </c>
      <c r="G364" s="9">
        <f t="shared" si="21"/>
        <v>111.36967000000001</v>
      </c>
      <c r="H364" s="13" t="s">
        <v>381</v>
      </c>
      <c r="I364" s="12"/>
      <c r="K364">
        <f t="shared" si="22"/>
        <v>369.53</v>
      </c>
      <c r="L364" s="1"/>
      <c r="M364" s="1"/>
      <c r="N364" s="1"/>
      <c r="T364" s="1"/>
      <c r="U364" s="1"/>
      <c r="V364" s="1"/>
      <c r="W364" s="1"/>
      <c r="X364" s="1"/>
      <c r="Y364" s="1"/>
      <c r="Z364" s="1"/>
      <c r="AA364" s="1"/>
    </row>
    <row r="365" spans="1:27" ht="14" x14ac:dyDescent="0.15">
      <c r="A365" s="9">
        <v>364</v>
      </c>
      <c r="B365" s="9" t="s">
        <v>386</v>
      </c>
      <c r="C365" s="9" t="s">
        <v>23</v>
      </c>
      <c r="D365" s="10">
        <v>324.33</v>
      </c>
      <c r="E365" s="10">
        <v>324.33</v>
      </c>
      <c r="F365" s="10">
        <v>0.4</v>
      </c>
      <c r="G365" s="9">
        <f t="shared" si="21"/>
        <v>111.69400000000002</v>
      </c>
      <c r="H365" s="13" t="s">
        <v>381</v>
      </c>
      <c r="I365" s="12"/>
      <c r="K365">
        <f t="shared" si="22"/>
        <v>324.33</v>
      </c>
      <c r="L365" s="1"/>
      <c r="M365" s="1"/>
      <c r="N365" s="1"/>
      <c r="T365" s="1"/>
      <c r="U365" s="1"/>
      <c r="V365" s="1"/>
      <c r="W365" s="1"/>
      <c r="X365" s="1"/>
      <c r="Y365" s="1"/>
      <c r="Z365" s="1"/>
      <c r="AA365" s="1"/>
    </row>
    <row r="366" spans="1:27" ht="14" x14ac:dyDescent="0.15">
      <c r="A366" s="9">
        <v>365</v>
      </c>
      <c r="B366" s="9" t="s">
        <v>387</v>
      </c>
      <c r="C366" s="9" t="s">
        <v>16</v>
      </c>
      <c r="D366" s="10">
        <v>307.55</v>
      </c>
      <c r="E366" s="10">
        <v>307.55</v>
      </c>
      <c r="F366" s="10">
        <v>5.38</v>
      </c>
      <c r="G366" s="9">
        <f t="shared" si="21"/>
        <v>112.00155000000002</v>
      </c>
      <c r="H366" s="13" t="s">
        <v>381</v>
      </c>
      <c r="I366" s="12"/>
      <c r="K366">
        <f t="shared" si="22"/>
        <v>307.55</v>
      </c>
      <c r="L366" s="1"/>
      <c r="M366" s="1"/>
      <c r="N366" s="1"/>
      <c r="T366" s="1"/>
      <c r="U366" s="1"/>
      <c r="V366" s="1"/>
      <c r="W366" s="1"/>
      <c r="X366" s="1"/>
      <c r="Y366" s="1"/>
      <c r="Z366" s="1"/>
      <c r="AA366" s="1"/>
    </row>
    <row r="367" spans="1:27" ht="14" x14ac:dyDescent="0.15">
      <c r="A367" s="9">
        <v>366</v>
      </c>
      <c r="B367" s="9" t="s">
        <v>388</v>
      </c>
      <c r="C367" s="9" t="s">
        <v>23</v>
      </c>
      <c r="D367" s="10">
        <v>348.28</v>
      </c>
      <c r="E367" s="10">
        <v>348.28</v>
      </c>
      <c r="F367" s="10">
        <v>3.85</v>
      </c>
      <c r="G367" s="9">
        <f t="shared" si="21"/>
        <v>112.34983000000003</v>
      </c>
      <c r="H367" s="13" t="s">
        <v>381</v>
      </c>
      <c r="I367" s="12"/>
      <c r="K367">
        <f t="shared" si="22"/>
        <v>348.28</v>
      </c>
      <c r="L367" s="1"/>
      <c r="M367" s="1"/>
      <c r="N367" s="1"/>
      <c r="T367" s="1"/>
      <c r="U367" s="1"/>
      <c r="V367" s="1"/>
      <c r="W367" s="1"/>
      <c r="X367" s="1"/>
      <c r="Y367" s="1"/>
      <c r="Z367" s="1"/>
      <c r="AA367" s="1"/>
    </row>
    <row r="368" spans="1:27" ht="14" x14ac:dyDescent="0.15">
      <c r="A368" s="9">
        <v>367</v>
      </c>
      <c r="B368" s="9" t="s">
        <v>389</v>
      </c>
      <c r="C368" s="9" t="s">
        <v>23</v>
      </c>
      <c r="D368" s="10">
        <v>319.02999999999997</v>
      </c>
      <c r="E368" s="10">
        <v>319.02999999999997</v>
      </c>
      <c r="F368" s="10">
        <v>0.04</v>
      </c>
      <c r="G368" s="9">
        <f t="shared" si="21"/>
        <v>112.66886000000002</v>
      </c>
      <c r="H368" s="13" t="s">
        <v>381</v>
      </c>
      <c r="I368" s="12"/>
      <c r="K368">
        <f t="shared" si="22"/>
        <v>319.02999999999997</v>
      </c>
      <c r="L368" s="1"/>
      <c r="M368" s="1"/>
      <c r="N368" s="1"/>
      <c r="T368" s="1"/>
      <c r="U368" s="1"/>
      <c r="V368" s="1"/>
      <c r="W368" s="1"/>
      <c r="X368" s="1"/>
      <c r="Y368" s="1"/>
      <c r="Z368" s="1"/>
      <c r="AA368" s="1"/>
    </row>
    <row r="369" spans="1:27" ht="14" x14ac:dyDescent="0.15">
      <c r="A369" s="9">
        <v>368</v>
      </c>
      <c r="B369" s="9" t="s">
        <v>390</v>
      </c>
      <c r="C369" s="9" t="s">
        <v>28</v>
      </c>
      <c r="D369" s="10">
        <v>270.49</v>
      </c>
      <c r="E369" s="10">
        <v>278.99</v>
      </c>
      <c r="F369" s="10">
        <v>17.45</v>
      </c>
      <c r="G369" s="9">
        <f t="shared" si="21"/>
        <v>112.94785000000002</v>
      </c>
      <c r="H369" s="13" t="s">
        <v>381</v>
      </c>
      <c r="I369" s="12"/>
      <c r="J369" s="7">
        <f>D369+8.5</f>
        <v>278.99</v>
      </c>
      <c r="K369">
        <f t="shared" si="22"/>
        <v>278.99</v>
      </c>
      <c r="L369" s="1"/>
      <c r="M369" s="1"/>
      <c r="N369" s="1"/>
      <c r="T369" s="1"/>
      <c r="U369" s="1"/>
      <c r="V369" s="1"/>
      <c r="W369" s="1"/>
      <c r="X369" s="1"/>
      <c r="Y369" s="1"/>
      <c r="Z369" s="1"/>
      <c r="AA369" s="1"/>
    </row>
    <row r="370" spans="1:27" ht="14" x14ac:dyDescent="0.15">
      <c r="A370" s="9">
        <v>369</v>
      </c>
      <c r="B370" s="9" t="s">
        <v>391</v>
      </c>
      <c r="C370" s="9" t="s">
        <v>23</v>
      </c>
      <c r="D370" s="10">
        <v>292.37</v>
      </c>
      <c r="E370" s="10">
        <v>292.37</v>
      </c>
      <c r="F370" s="10">
        <v>7.0000000000000007E-2</v>
      </c>
      <c r="G370" s="9">
        <f t="shared" si="21"/>
        <v>113.24022000000002</v>
      </c>
      <c r="H370" s="13" t="s">
        <v>381</v>
      </c>
      <c r="I370" s="12"/>
      <c r="K370">
        <f t="shared" si="22"/>
        <v>292.37</v>
      </c>
      <c r="L370" s="1"/>
      <c r="M370" s="1"/>
      <c r="N370" s="1"/>
      <c r="T370" s="1"/>
      <c r="U370" s="1"/>
      <c r="V370" s="1"/>
      <c r="W370" s="1"/>
      <c r="X370" s="1"/>
      <c r="Y370" s="1"/>
      <c r="Z370" s="1"/>
      <c r="AA370" s="1"/>
    </row>
    <row r="371" spans="1:27" ht="14" x14ac:dyDescent="0.15">
      <c r="A371" s="9">
        <v>370</v>
      </c>
      <c r="B371" s="9" t="s">
        <v>392</v>
      </c>
      <c r="C371" s="9" t="s">
        <v>23</v>
      </c>
      <c r="D371" s="10">
        <v>247.27</v>
      </c>
      <c r="E371" s="10">
        <v>247.27</v>
      </c>
      <c r="F371" s="10">
        <v>0.27</v>
      </c>
      <c r="G371" s="9">
        <f t="shared" si="21"/>
        <v>113.48749000000002</v>
      </c>
      <c r="H371" s="13" t="s">
        <v>381</v>
      </c>
      <c r="I371" s="12"/>
      <c r="K371">
        <f t="shared" si="22"/>
        <v>247.27</v>
      </c>
      <c r="L371" s="1"/>
      <c r="M371" s="1"/>
      <c r="N371" s="1"/>
      <c r="T371" s="1"/>
      <c r="U371" s="1"/>
      <c r="V371" s="1"/>
      <c r="W371" s="1"/>
      <c r="X371" s="1"/>
      <c r="Y371" s="1"/>
      <c r="Z371" s="1"/>
      <c r="AA371" s="1"/>
    </row>
    <row r="372" spans="1:27" ht="14" x14ac:dyDescent="0.15">
      <c r="A372" s="9">
        <v>371</v>
      </c>
      <c r="B372" s="9" t="s">
        <v>393</v>
      </c>
      <c r="C372" s="9" t="s">
        <v>19</v>
      </c>
      <c r="D372" s="10">
        <v>297.85000000000002</v>
      </c>
      <c r="E372" s="10">
        <v>306.35000000000002</v>
      </c>
      <c r="F372" s="10">
        <v>59.62</v>
      </c>
      <c r="G372" s="9">
        <f t="shared" si="21"/>
        <v>113.79384000000002</v>
      </c>
      <c r="H372" s="13" t="s">
        <v>381</v>
      </c>
      <c r="I372" s="12"/>
      <c r="J372" s="7">
        <f>D372+8.5</f>
        <v>306.35000000000002</v>
      </c>
      <c r="K372">
        <f t="shared" si="22"/>
        <v>306.35000000000002</v>
      </c>
      <c r="L372" s="1"/>
      <c r="M372" s="1"/>
      <c r="N372" s="1"/>
      <c r="T372" s="1"/>
      <c r="U372" s="1"/>
      <c r="V372" s="1"/>
      <c r="W372" s="1"/>
      <c r="X372" s="1"/>
      <c r="Y372" s="1"/>
      <c r="Z372" s="1"/>
      <c r="AA372" s="1"/>
    </row>
    <row r="373" spans="1:27" ht="14" x14ac:dyDescent="0.15">
      <c r="A373" s="9">
        <v>372</v>
      </c>
      <c r="B373" s="9" t="s">
        <v>394</v>
      </c>
      <c r="C373" s="9" t="s">
        <v>23</v>
      </c>
      <c r="D373" s="10">
        <v>247.13</v>
      </c>
      <c r="E373" s="10">
        <v>247.13</v>
      </c>
      <c r="F373" s="10">
        <v>0.22</v>
      </c>
      <c r="G373" s="9">
        <f t="shared" si="21"/>
        <v>114.04097000000002</v>
      </c>
      <c r="H373" s="13" t="s">
        <v>381</v>
      </c>
      <c r="I373" s="12"/>
      <c r="K373">
        <f t="shared" si="22"/>
        <v>247.13</v>
      </c>
      <c r="L373" s="1"/>
      <c r="M373" s="1"/>
      <c r="N373" s="1"/>
      <c r="T373" s="1"/>
      <c r="U373" s="1"/>
      <c r="V373" s="1"/>
      <c r="W373" s="1"/>
      <c r="X373" s="1"/>
      <c r="Y373" s="1"/>
      <c r="Z373" s="1"/>
      <c r="AA373" s="1"/>
    </row>
    <row r="374" spans="1:27" ht="14" x14ac:dyDescent="0.15">
      <c r="A374" s="9">
        <v>373</v>
      </c>
      <c r="B374" s="9" t="s">
        <v>395</v>
      </c>
      <c r="C374" s="9" t="s">
        <v>28</v>
      </c>
      <c r="D374" s="10">
        <v>329.53</v>
      </c>
      <c r="E374" s="10">
        <v>338.03</v>
      </c>
      <c r="F374" s="10">
        <v>25.83</v>
      </c>
      <c r="G374" s="9">
        <f t="shared" si="21"/>
        <v>114.37900000000002</v>
      </c>
      <c r="H374" s="13" t="s">
        <v>381</v>
      </c>
      <c r="I374" s="12"/>
      <c r="J374" s="7">
        <f>D374+8.5</f>
        <v>338.03</v>
      </c>
      <c r="K374">
        <f t="shared" si="22"/>
        <v>338.03</v>
      </c>
      <c r="L374" s="1"/>
      <c r="M374" s="1"/>
      <c r="N374" s="1"/>
      <c r="T374" s="1"/>
      <c r="U374" s="1"/>
      <c r="V374" s="1"/>
      <c r="W374" s="1"/>
      <c r="X374" s="1"/>
      <c r="Y374" s="1"/>
      <c r="Z374" s="1"/>
      <c r="AA374" s="1"/>
    </row>
    <row r="375" spans="1:27" ht="14" x14ac:dyDescent="0.15">
      <c r="A375" s="9">
        <v>374</v>
      </c>
      <c r="B375" s="9" t="s">
        <v>396</v>
      </c>
      <c r="C375" s="9" t="s">
        <v>23</v>
      </c>
      <c r="D375" s="10">
        <v>302.68</v>
      </c>
      <c r="E375" s="10">
        <v>302.68</v>
      </c>
      <c r="F375" s="10">
        <v>1.05</v>
      </c>
      <c r="G375" s="9">
        <f t="shared" si="21"/>
        <v>114.68168000000001</v>
      </c>
      <c r="H375" s="13" t="s">
        <v>381</v>
      </c>
      <c r="I375" s="12"/>
      <c r="K375">
        <f t="shared" si="22"/>
        <v>302.68</v>
      </c>
      <c r="L375" s="1"/>
      <c r="M375" s="1"/>
      <c r="N375" s="1"/>
      <c r="T375" s="1"/>
      <c r="U375" s="1"/>
      <c r="V375" s="1"/>
      <c r="W375" s="1"/>
      <c r="X375" s="1"/>
      <c r="Y375" s="1"/>
      <c r="Z375" s="1"/>
      <c r="AA375" s="1"/>
    </row>
    <row r="376" spans="1:27" ht="14" x14ac:dyDescent="0.15">
      <c r="A376" s="9">
        <v>375</v>
      </c>
      <c r="B376" s="9" t="s">
        <v>397</v>
      </c>
      <c r="C376" s="9" t="s">
        <v>23</v>
      </c>
      <c r="D376" s="10">
        <v>324.2</v>
      </c>
      <c r="E376" s="10">
        <v>324.2</v>
      </c>
      <c r="F376" s="10">
        <v>0.15</v>
      </c>
      <c r="G376" s="9">
        <f t="shared" si="21"/>
        <v>115.00588000000002</v>
      </c>
      <c r="H376" s="13" t="s">
        <v>381</v>
      </c>
      <c r="I376" s="12"/>
      <c r="K376">
        <f t="shared" si="22"/>
        <v>324.2</v>
      </c>
      <c r="L376" s="1"/>
      <c r="M376" s="1"/>
      <c r="N376" s="1"/>
      <c r="T376" s="1"/>
      <c r="U376" s="1"/>
      <c r="V376" s="1"/>
      <c r="W376" s="1"/>
      <c r="X376" s="1"/>
      <c r="Y376" s="1"/>
      <c r="Z376" s="1"/>
      <c r="AA376" s="1"/>
    </row>
    <row r="377" spans="1:27" ht="14" x14ac:dyDescent="0.15">
      <c r="A377" s="9">
        <v>376</v>
      </c>
      <c r="B377" s="9" t="s">
        <v>398</v>
      </c>
      <c r="C377" s="9" t="s">
        <v>23</v>
      </c>
      <c r="D377" s="10">
        <v>310.01</v>
      </c>
      <c r="E377" s="10">
        <v>310.01</v>
      </c>
      <c r="F377" s="10">
        <v>0.02</v>
      </c>
      <c r="G377" s="9">
        <f t="shared" si="21"/>
        <v>115.31589000000002</v>
      </c>
      <c r="H377" s="13" t="s">
        <v>381</v>
      </c>
      <c r="I377" s="12"/>
      <c r="K377">
        <f t="shared" si="22"/>
        <v>310.01</v>
      </c>
      <c r="L377" s="1"/>
      <c r="M377" s="1"/>
      <c r="N377" s="1"/>
      <c r="T377" s="1"/>
      <c r="U377" s="1"/>
      <c r="V377" s="1"/>
      <c r="W377" s="1"/>
      <c r="X377" s="1"/>
      <c r="Y377" s="1"/>
      <c r="Z377" s="1"/>
      <c r="AA377" s="1"/>
    </row>
    <row r="378" spans="1:27" ht="14" x14ac:dyDescent="0.15">
      <c r="A378" s="9">
        <v>377</v>
      </c>
      <c r="B378" s="9" t="s">
        <v>399</v>
      </c>
      <c r="C378" s="9" t="s">
        <v>23</v>
      </c>
      <c r="D378" s="10">
        <v>281.14999999999998</v>
      </c>
      <c r="E378" s="10">
        <v>281.14999999999998</v>
      </c>
      <c r="F378" s="10">
        <v>0.03</v>
      </c>
      <c r="G378" s="9">
        <f t="shared" si="21"/>
        <v>115.59704000000002</v>
      </c>
      <c r="H378" s="13" t="s">
        <v>381</v>
      </c>
      <c r="I378" s="12"/>
      <c r="K378">
        <f t="shared" si="22"/>
        <v>281.14999999999998</v>
      </c>
      <c r="L378" s="1"/>
      <c r="M378" s="1"/>
      <c r="N378" s="1"/>
      <c r="T378" s="1"/>
      <c r="U378" s="1"/>
      <c r="V378" s="1"/>
      <c r="W378" s="1"/>
      <c r="X378" s="1"/>
      <c r="Y378" s="1"/>
      <c r="Z378" s="1"/>
      <c r="AA378" s="1"/>
    </row>
    <row r="379" spans="1:27" ht="14" x14ac:dyDescent="0.15">
      <c r="A379" s="9">
        <v>378</v>
      </c>
      <c r="B379" s="9" t="s">
        <v>400</v>
      </c>
      <c r="C379" s="9" t="s">
        <v>23</v>
      </c>
      <c r="D379" s="10">
        <v>315.05</v>
      </c>
      <c r="E379" s="10">
        <v>315.05</v>
      </c>
      <c r="F379" s="10">
        <v>0.13</v>
      </c>
      <c r="G379" s="9">
        <f t="shared" si="21"/>
        <v>115.91209000000002</v>
      </c>
      <c r="H379" s="13" t="s">
        <v>381</v>
      </c>
      <c r="I379" s="12"/>
      <c r="K379">
        <f t="shared" si="22"/>
        <v>315.05</v>
      </c>
      <c r="L379" s="1"/>
      <c r="M379" s="1"/>
      <c r="N379" s="1"/>
      <c r="T379" s="1"/>
      <c r="U379" s="1"/>
      <c r="V379" s="1"/>
      <c r="W379" s="1"/>
      <c r="X379" s="1"/>
      <c r="Y379" s="1"/>
      <c r="Z379" s="1"/>
      <c r="AA379" s="1"/>
    </row>
    <row r="380" spans="1:27" ht="14" x14ac:dyDescent="0.15">
      <c r="A380" s="9">
        <v>379</v>
      </c>
      <c r="B380" s="9" t="s">
        <v>401</v>
      </c>
      <c r="C380" s="9" t="s">
        <v>23</v>
      </c>
      <c r="D380" s="10">
        <v>331.76</v>
      </c>
      <c r="E380" s="10">
        <v>331.76</v>
      </c>
      <c r="F380" s="10">
        <v>0.23</v>
      </c>
      <c r="G380" s="9">
        <f t="shared" si="21"/>
        <v>116.24385000000002</v>
      </c>
      <c r="H380" s="13" t="s">
        <v>381</v>
      </c>
      <c r="I380" s="12"/>
      <c r="K380">
        <f t="shared" si="22"/>
        <v>331.76</v>
      </c>
      <c r="L380" s="1"/>
      <c r="M380" s="1"/>
      <c r="N380" s="1"/>
      <c r="T380" s="1"/>
      <c r="U380" s="1"/>
      <c r="V380" s="1"/>
      <c r="W380" s="1"/>
      <c r="X380" s="1"/>
      <c r="Y380" s="1"/>
      <c r="Z380" s="1"/>
      <c r="AA380" s="1"/>
    </row>
    <row r="381" spans="1:27" ht="14" x14ac:dyDescent="0.15">
      <c r="A381" s="9">
        <v>380</v>
      </c>
      <c r="B381" s="9" t="s">
        <v>402</v>
      </c>
      <c r="C381" s="9" t="s">
        <v>16</v>
      </c>
      <c r="D381" s="10">
        <v>327.10000000000002</v>
      </c>
      <c r="E381" s="10">
        <v>327.10000000000002</v>
      </c>
      <c r="F381" s="10">
        <v>0.37</v>
      </c>
      <c r="G381" s="9">
        <f t="shared" si="21"/>
        <v>116.57095000000002</v>
      </c>
      <c r="H381" s="13" t="s">
        <v>381</v>
      </c>
      <c r="I381" s="12"/>
      <c r="K381">
        <f t="shared" si="22"/>
        <v>327.10000000000002</v>
      </c>
      <c r="L381" s="1"/>
      <c r="M381" s="1"/>
      <c r="N381" s="1"/>
      <c r="T381" s="1"/>
      <c r="U381" s="1"/>
      <c r="V381" s="1"/>
      <c r="W381" s="1"/>
      <c r="X381" s="1"/>
      <c r="Y381" s="1"/>
      <c r="Z381" s="1"/>
      <c r="AA381" s="1"/>
    </row>
    <row r="382" spans="1:27" ht="14" x14ac:dyDescent="0.15">
      <c r="A382" s="9">
        <v>381</v>
      </c>
      <c r="B382" s="9" t="s">
        <v>403</v>
      </c>
      <c r="C382" s="9" t="s">
        <v>23</v>
      </c>
      <c r="D382" s="10">
        <v>335.94</v>
      </c>
      <c r="E382" s="10">
        <v>335.94</v>
      </c>
      <c r="F382" s="10">
        <v>0.43</v>
      </c>
      <c r="G382" s="9">
        <f t="shared" si="21"/>
        <v>116.90689000000002</v>
      </c>
      <c r="H382" s="13" t="s">
        <v>381</v>
      </c>
      <c r="I382" s="12"/>
      <c r="K382">
        <f t="shared" si="22"/>
        <v>335.94</v>
      </c>
      <c r="L382" s="1"/>
      <c r="M382" s="1"/>
      <c r="N382" s="1"/>
      <c r="T382" s="1"/>
      <c r="U382" s="1"/>
      <c r="V382" s="1"/>
      <c r="W382" s="1"/>
      <c r="X382" s="1"/>
      <c r="Y382" s="1"/>
      <c r="Z382" s="1"/>
      <c r="AA382" s="1"/>
    </row>
    <row r="383" spans="1:27" ht="14" x14ac:dyDescent="0.15">
      <c r="A383" s="9">
        <v>382</v>
      </c>
      <c r="B383" s="9" t="s">
        <v>404</v>
      </c>
      <c r="C383" s="9" t="s">
        <v>23</v>
      </c>
      <c r="D383" s="10">
        <v>315.5</v>
      </c>
      <c r="E383" s="10">
        <v>315.5</v>
      </c>
      <c r="F383" s="10">
        <v>0.1</v>
      </c>
      <c r="G383" s="9">
        <f t="shared" si="21"/>
        <v>117.22239000000002</v>
      </c>
      <c r="H383" s="13" t="s">
        <v>381</v>
      </c>
      <c r="I383" s="12"/>
      <c r="K383">
        <f t="shared" si="22"/>
        <v>315.5</v>
      </c>
      <c r="L383" s="1"/>
      <c r="M383" s="1"/>
      <c r="N383" s="1"/>
      <c r="T383" s="1"/>
      <c r="U383" s="1"/>
      <c r="V383" s="1"/>
      <c r="W383" s="1"/>
      <c r="X383" s="1"/>
      <c r="Y383" s="1"/>
      <c r="Z383" s="1"/>
      <c r="AA383" s="1"/>
    </row>
    <row r="384" spans="1:27" ht="14" x14ac:dyDescent="0.15">
      <c r="A384" s="9">
        <v>383</v>
      </c>
      <c r="B384" s="9" t="s">
        <v>405</v>
      </c>
      <c r="C384" s="9" t="s">
        <v>23</v>
      </c>
      <c r="D384" s="10">
        <v>276.54000000000002</v>
      </c>
      <c r="E384" s="10">
        <v>276.54000000000002</v>
      </c>
      <c r="F384" s="10">
        <v>0.45</v>
      </c>
      <c r="G384" s="9">
        <f t="shared" si="21"/>
        <v>117.49893000000002</v>
      </c>
      <c r="H384" s="13" t="s">
        <v>381</v>
      </c>
      <c r="I384" s="12"/>
      <c r="K384">
        <f t="shared" si="22"/>
        <v>276.54000000000002</v>
      </c>
      <c r="L384" s="1"/>
      <c r="M384" s="1"/>
      <c r="N384" s="1"/>
      <c r="T384" s="1"/>
      <c r="U384" s="1"/>
      <c r="V384" s="1"/>
      <c r="W384" s="1"/>
      <c r="X384" s="1"/>
      <c r="Y384" s="1"/>
      <c r="Z384" s="1"/>
      <c r="AA384" s="1"/>
    </row>
    <row r="385" spans="1:27" ht="14" x14ac:dyDescent="0.15">
      <c r="A385" s="9">
        <v>384</v>
      </c>
      <c r="B385" s="9" t="s">
        <v>406</v>
      </c>
      <c r="C385" s="9" t="s">
        <v>23</v>
      </c>
      <c r="D385" s="10">
        <v>337.19</v>
      </c>
      <c r="E385" s="10">
        <v>337.19</v>
      </c>
      <c r="F385" s="10">
        <v>0.41</v>
      </c>
      <c r="G385" s="9">
        <f t="shared" si="21"/>
        <v>117.83612000000002</v>
      </c>
      <c r="H385" s="13" t="s">
        <v>381</v>
      </c>
      <c r="I385" s="12"/>
      <c r="K385">
        <f t="shared" si="22"/>
        <v>337.19</v>
      </c>
      <c r="L385" s="1"/>
      <c r="M385" s="1"/>
      <c r="N385" s="1"/>
      <c r="T385" s="1"/>
      <c r="U385" s="1"/>
      <c r="V385" s="1"/>
      <c r="W385" s="1"/>
      <c r="X385" s="1"/>
      <c r="Y385" s="1"/>
      <c r="Z385" s="1"/>
      <c r="AA385" s="1"/>
    </row>
    <row r="386" spans="1:27" ht="14" x14ac:dyDescent="0.15">
      <c r="A386" s="9">
        <v>385</v>
      </c>
      <c r="B386" s="9" t="s">
        <v>407</v>
      </c>
      <c r="C386" s="9" t="s">
        <v>23</v>
      </c>
      <c r="D386" s="10">
        <v>303.17</v>
      </c>
      <c r="E386" s="10">
        <v>303.17</v>
      </c>
      <c r="F386" s="10">
        <v>0.38</v>
      </c>
      <c r="G386" s="9">
        <f t="shared" si="21"/>
        <v>118.13929000000002</v>
      </c>
      <c r="H386" s="13" t="s">
        <v>381</v>
      </c>
      <c r="I386" s="12"/>
      <c r="K386">
        <f t="shared" si="22"/>
        <v>303.17</v>
      </c>
      <c r="L386" s="1"/>
      <c r="M386" s="1"/>
      <c r="N386" s="1"/>
      <c r="T386" s="1"/>
      <c r="U386" s="1"/>
      <c r="V386" s="1"/>
      <c r="W386" s="1"/>
      <c r="X386" s="1"/>
      <c r="Y386" s="1"/>
      <c r="Z386" s="1"/>
      <c r="AA386" s="1"/>
    </row>
    <row r="387" spans="1:27" ht="14" x14ac:dyDescent="0.15">
      <c r="A387" s="9">
        <v>386</v>
      </c>
      <c r="B387" s="9" t="s">
        <v>408</v>
      </c>
      <c r="C387" s="9" t="s">
        <v>28</v>
      </c>
      <c r="D387" s="10">
        <v>312.17</v>
      </c>
      <c r="E387" s="10">
        <v>320.67</v>
      </c>
      <c r="F387" s="10">
        <v>28.13</v>
      </c>
      <c r="G387" s="9">
        <f t="shared" si="21"/>
        <v>118.45996000000002</v>
      </c>
      <c r="H387" s="13" t="s">
        <v>381</v>
      </c>
      <c r="I387" s="12"/>
      <c r="J387" s="7">
        <f>D387+8.5</f>
        <v>320.67</v>
      </c>
      <c r="K387">
        <f t="shared" si="22"/>
        <v>320.67</v>
      </c>
      <c r="L387" s="1"/>
      <c r="M387" s="1"/>
      <c r="N387" s="1"/>
      <c r="T387" s="1"/>
      <c r="U387" s="1"/>
      <c r="V387" s="1"/>
      <c r="W387" s="1"/>
      <c r="X387" s="1"/>
      <c r="Y387" s="1"/>
      <c r="Z387" s="1"/>
      <c r="AA387" s="1"/>
    </row>
    <row r="388" spans="1:27" ht="14" x14ac:dyDescent="0.15">
      <c r="A388" s="9">
        <v>387</v>
      </c>
      <c r="B388" s="9" t="s">
        <v>409</v>
      </c>
      <c r="C388" s="9" t="s">
        <v>23</v>
      </c>
      <c r="D388" s="10">
        <v>331.5</v>
      </c>
      <c r="E388" s="10">
        <v>331.5</v>
      </c>
      <c r="F388" s="10">
        <v>0.89</v>
      </c>
      <c r="G388" s="9">
        <f t="shared" ref="G388:G451" si="23">E388/1000+G387</f>
        <v>118.79146000000003</v>
      </c>
      <c r="H388" s="13" t="s">
        <v>381</v>
      </c>
      <c r="I388" s="12"/>
      <c r="K388">
        <f t="shared" ref="K388:K451" si="24">IF(J388&lt;&gt;"",J388,D388)</f>
        <v>331.5</v>
      </c>
      <c r="L388" s="1"/>
      <c r="M388" s="1"/>
      <c r="N388" s="1"/>
      <c r="T388" s="1"/>
      <c r="U388" s="1"/>
      <c r="V388" s="1"/>
      <c r="W388" s="1"/>
      <c r="X388" s="1"/>
      <c r="Y388" s="1"/>
      <c r="Z388" s="1"/>
      <c r="AA388" s="1"/>
    </row>
    <row r="389" spans="1:27" ht="14" x14ac:dyDescent="0.15">
      <c r="A389" s="9">
        <v>388</v>
      </c>
      <c r="B389" s="9" t="s">
        <v>410</v>
      </c>
      <c r="C389" s="9" t="s">
        <v>23</v>
      </c>
      <c r="D389" s="10">
        <v>306.02</v>
      </c>
      <c r="E389" s="10">
        <v>306.02</v>
      </c>
      <c r="F389" s="10">
        <v>0.3</v>
      </c>
      <c r="G389" s="9">
        <f t="shared" si="23"/>
        <v>119.09748000000003</v>
      </c>
      <c r="H389" s="13" t="s">
        <v>381</v>
      </c>
      <c r="I389" s="12"/>
      <c r="K389">
        <f t="shared" si="24"/>
        <v>306.02</v>
      </c>
      <c r="L389" s="1"/>
      <c r="M389" s="1"/>
      <c r="N389" s="1"/>
      <c r="T389" s="1"/>
      <c r="U389" s="1"/>
      <c r="V389" s="1"/>
      <c r="W389" s="1"/>
      <c r="X389" s="1"/>
      <c r="Y389" s="1"/>
      <c r="Z389" s="1"/>
      <c r="AA389" s="1"/>
    </row>
    <row r="390" spans="1:27" ht="14" x14ac:dyDescent="0.15">
      <c r="A390" s="9">
        <v>389</v>
      </c>
      <c r="B390" s="9" t="s">
        <v>411</v>
      </c>
      <c r="C390" s="9" t="s">
        <v>23</v>
      </c>
      <c r="D390" s="10">
        <v>314.70999999999998</v>
      </c>
      <c r="E390" s="10">
        <v>314.70999999999998</v>
      </c>
      <c r="F390" s="10">
        <v>0.59</v>
      </c>
      <c r="G390" s="9">
        <f t="shared" si="23"/>
        <v>119.41219000000004</v>
      </c>
      <c r="H390" s="13" t="s">
        <v>381</v>
      </c>
      <c r="I390" s="12"/>
      <c r="K390">
        <f t="shared" si="24"/>
        <v>314.70999999999998</v>
      </c>
      <c r="L390" s="1"/>
      <c r="M390" s="1"/>
      <c r="N390" s="1"/>
      <c r="T390" s="1"/>
      <c r="U390" s="1"/>
      <c r="V390" s="1"/>
      <c r="W390" s="1"/>
      <c r="X390" s="1"/>
      <c r="Y390" s="1"/>
      <c r="Z390" s="1"/>
      <c r="AA390" s="1"/>
    </row>
    <row r="391" spans="1:27" ht="14" x14ac:dyDescent="0.15">
      <c r="A391" s="9">
        <v>390</v>
      </c>
      <c r="B391" s="9" t="s">
        <v>412</v>
      </c>
      <c r="C391" s="9" t="s">
        <v>23</v>
      </c>
      <c r="D391" s="10">
        <v>288.12</v>
      </c>
      <c r="E391" s="10">
        <v>288.12</v>
      </c>
      <c r="F391" s="10">
        <v>1.18</v>
      </c>
      <c r="G391" s="9">
        <f t="shared" si="23"/>
        <v>119.70031000000004</v>
      </c>
      <c r="H391" s="13" t="s">
        <v>381</v>
      </c>
      <c r="I391" s="12"/>
      <c r="K391">
        <f t="shared" si="24"/>
        <v>288.12</v>
      </c>
      <c r="L391" s="1"/>
      <c r="M391" s="1"/>
      <c r="N391" s="1"/>
      <c r="T391" s="1"/>
      <c r="U391" s="1"/>
      <c r="V391" s="1"/>
      <c r="W391" s="1"/>
      <c r="X391" s="1"/>
      <c r="Y391" s="1"/>
      <c r="Z391" s="1"/>
      <c r="AA391" s="1"/>
    </row>
    <row r="392" spans="1:27" ht="14" x14ac:dyDescent="0.15">
      <c r="A392" s="9">
        <v>391</v>
      </c>
      <c r="B392" s="9" t="s">
        <v>413</v>
      </c>
      <c r="C392" s="9" t="s">
        <v>28</v>
      </c>
      <c r="D392" s="10">
        <v>273.26</v>
      </c>
      <c r="E392" s="10">
        <v>281.76</v>
      </c>
      <c r="F392" s="10">
        <v>31.52</v>
      </c>
      <c r="G392" s="9">
        <f t="shared" si="23"/>
        <v>119.98207000000005</v>
      </c>
      <c r="H392" s="13" t="s">
        <v>381</v>
      </c>
      <c r="I392" s="12"/>
      <c r="J392" s="7">
        <f>D392+8.5</f>
        <v>281.76</v>
      </c>
      <c r="K392">
        <f t="shared" si="24"/>
        <v>281.76</v>
      </c>
      <c r="L392" s="1"/>
      <c r="M392" s="1"/>
      <c r="N392" s="1"/>
      <c r="T392" s="1"/>
      <c r="U392" s="1"/>
      <c r="V392" s="1"/>
      <c r="W392" s="1"/>
      <c r="X392" s="1"/>
      <c r="Y392" s="1"/>
      <c r="Z392" s="1"/>
      <c r="AA392" s="1"/>
    </row>
    <row r="393" spans="1:27" ht="14" x14ac:dyDescent="0.15">
      <c r="A393" s="9">
        <v>392</v>
      </c>
      <c r="B393" s="9" t="s">
        <v>414</v>
      </c>
      <c r="C393" s="9" t="s">
        <v>23</v>
      </c>
      <c r="D393" s="10">
        <v>260.82</v>
      </c>
      <c r="E393" s="10">
        <v>260.82</v>
      </c>
      <c r="F393" s="10">
        <v>2.16</v>
      </c>
      <c r="G393" s="9">
        <f t="shared" si="23"/>
        <v>120.24289000000005</v>
      </c>
      <c r="H393" s="13" t="s">
        <v>381</v>
      </c>
      <c r="I393" s="12"/>
      <c r="K393">
        <f t="shared" si="24"/>
        <v>260.82</v>
      </c>
      <c r="L393" s="1"/>
      <c r="M393" s="1"/>
      <c r="N393" s="1"/>
      <c r="T393" s="1"/>
      <c r="U393" s="1"/>
      <c r="V393" s="1"/>
      <c r="W393" s="1"/>
      <c r="X393" s="1"/>
      <c r="Y393" s="1"/>
      <c r="Z393" s="1"/>
      <c r="AA393" s="1"/>
    </row>
    <row r="394" spans="1:27" ht="14" x14ac:dyDescent="0.15">
      <c r="A394" s="9">
        <v>393</v>
      </c>
      <c r="B394" s="9" t="s">
        <v>415</v>
      </c>
      <c r="C394" s="9" t="s">
        <v>19</v>
      </c>
      <c r="D394" s="10">
        <v>351.43</v>
      </c>
      <c r="E394" s="10">
        <v>359.93</v>
      </c>
      <c r="F394" s="10">
        <v>35.79</v>
      </c>
      <c r="G394" s="9">
        <f t="shared" si="23"/>
        <v>120.60282000000005</v>
      </c>
      <c r="H394" s="13" t="s">
        <v>381</v>
      </c>
      <c r="I394" s="12"/>
      <c r="J394" s="7">
        <f>D394+8.5</f>
        <v>359.93</v>
      </c>
      <c r="K394">
        <f t="shared" si="24"/>
        <v>359.93</v>
      </c>
      <c r="L394" s="1"/>
      <c r="M394" s="1"/>
      <c r="N394" s="1"/>
      <c r="T394" s="1"/>
      <c r="U394" s="1"/>
      <c r="V394" s="1"/>
      <c r="W394" s="1"/>
      <c r="X394" s="1"/>
      <c r="Y394" s="1"/>
      <c r="Z394" s="1"/>
      <c r="AA394" s="1"/>
    </row>
    <row r="395" spans="1:27" ht="14" x14ac:dyDescent="0.15">
      <c r="A395" s="9">
        <v>394</v>
      </c>
      <c r="B395" s="9" t="s">
        <v>416</v>
      </c>
      <c r="C395" s="9" t="s">
        <v>23</v>
      </c>
      <c r="D395" s="10">
        <v>343.19</v>
      </c>
      <c r="E395" s="10">
        <v>343.19</v>
      </c>
      <c r="F395" s="10">
        <v>0.88</v>
      </c>
      <c r="G395" s="9">
        <f t="shared" si="23"/>
        <v>120.94601000000006</v>
      </c>
      <c r="H395" s="13" t="s">
        <v>381</v>
      </c>
      <c r="I395" s="12"/>
      <c r="K395">
        <f t="shared" si="24"/>
        <v>343.19</v>
      </c>
      <c r="L395" s="1"/>
      <c r="M395" s="1"/>
      <c r="N395" s="1"/>
      <c r="T395" s="1"/>
      <c r="U395" s="1"/>
      <c r="V395" s="1"/>
      <c r="W395" s="1"/>
      <c r="X395" s="1"/>
      <c r="Y395" s="1"/>
      <c r="Z395" s="1"/>
      <c r="AA395" s="1"/>
    </row>
    <row r="396" spans="1:27" ht="14" x14ac:dyDescent="0.15">
      <c r="A396" s="9">
        <v>395</v>
      </c>
      <c r="B396" s="9" t="s">
        <v>417</v>
      </c>
      <c r="C396" s="9" t="s">
        <v>23</v>
      </c>
      <c r="D396" s="10">
        <v>282.14999999999998</v>
      </c>
      <c r="E396" s="10">
        <v>282.14999999999998</v>
      </c>
      <c r="F396" s="10">
        <v>0.25</v>
      </c>
      <c r="G396" s="9">
        <f t="shared" si="23"/>
        <v>121.22816000000006</v>
      </c>
      <c r="H396" s="13" t="s">
        <v>381</v>
      </c>
      <c r="I396" s="12"/>
      <c r="K396">
        <f t="shared" si="24"/>
        <v>282.14999999999998</v>
      </c>
      <c r="L396" s="1"/>
      <c r="M396" s="1"/>
      <c r="N396" s="1"/>
      <c r="T396" s="1"/>
      <c r="U396" s="1"/>
      <c r="V396" s="1"/>
      <c r="W396" s="1"/>
      <c r="X396" s="1"/>
      <c r="Y396" s="1"/>
      <c r="Z396" s="1"/>
      <c r="AA396" s="1"/>
    </row>
    <row r="397" spans="1:27" ht="14" x14ac:dyDescent="0.15">
      <c r="A397" s="9">
        <v>396</v>
      </c>
      <c r="B397" s="9" t="s">
        <v>418</v>
      </c>
      <c r="C397" s="9" t="s">
        <v>28</v>
      </c>
      <c r="D397" s="10">
        <v>300.8</v>
      </c>
      <c r="E397" s="10">
        <v>309.3</v>
      </c>
      <c r="F397" s="10">
        <v>18.28</v>
      </c>
      <c r="G397" s="9">
        <f t="shared" si="23"/>
        <v>121.53746000000005</v>
      </c>
      <c r="H397" s="13" t="s">
        <v>381</v>
      </c>
      <c r="I397" s="12"/>
      <c r="J397" s="7">
        <f>D397+8.5</f>
        <v>309.3</v>
      </c>
      <c r="K397">
        <f t="shared" si="24"/>
        <v>309.3</v>
      </c>
      <c r="L397" s="1"/>
      <c r="M397" s="1"/>
      <c r="N397" s="1"/>
      <c r="T397" s="1"/>
      <c r="U397" s="1"/>
      <c r="V397" s="1"/>
      <c r="W397" s="1"/>
      <c r="X397" s="1"/>
      <c r="Y397" s="1"/>
      <c r="Z397" s="1"/>
      <c r="AA397" s="1"/>
    </row>
    <row r="398" spans="1:27" ht="14" x14ac:dyDescent="0.15">
      <c r="A398" s="9">
        <v>397</v>
      </c>
      <c r="B398" s="9" t="s">
        <v>419</v>
      </c>
      <c r="C398" s="9" t="s">
        <v>23</v>
      </c>
      <c r="D398" s="10">
        <v>347.36</v>
      </c>
      <c r="E398" s="10">
        <v>347.36</v>
      </c>
      <c r="F398" s="10">
        <v>0.48</v>
      </c>
      <c r="G398" s="9">
        <f t="shared" si="23"/>
        <v>121.88482000000005</v>
      </c>
      <c r="H398" s="13" t="s">
        <v>381</v>
      </c>
      <c r="I398" s="12"/>
      <c r="K398">
        <f t="shared" si="24"/>
        <v>347.36</v>
      </c>
      <c r="L398" s="1"/>
      <c r="M398" s="1"/>
      <c r="N398" s="1"/>
      <c r="T398" s="1"/>
      <c r="U398" s="1"/>
      <c r="V398" s="1"/>
      <c r="W398" s="1"/>
      <c r="X398" s="1"/>
      <c r="Y398" s="1"/>
      <c r="Z398" s="1"/>
      <c r="AA398" s="1"/>
    </row>
    <row r="399" spans="1:27" ht="14" x14ac:dyDescent="0.15">
      <c r="A399" s="9">
        <v>398</v>
      </c>
      <c r="B399" s="9" t="s">
        <v>420</v>
      </c>
      <c r="C399" s="9" t="s">
        <v>23</v>
      </c>
      <c r="D399" s="10">
        <v>331.08</v>
      </c>
      <c r="E399" s="10">
        <v>331.08</v>
      </c>
      <c r="F399" s="10">
        <v>0.18</v>
      </c>
      <c r="G399" s="9">
        <f t="shared" si="23"/>
        <v>122.21590000000005</v>
      </c>
      <c r="H399" s="13" t="s">
        <v>381</v>
      </c>
      <c r="I399" s="12"/>
      <c r="K399">
        <f t="shared" si="24"/>
        <v>331.08</v>
      </c>
      <c r="L399" s="1"/>
      <c r="M399" s="1"/>
      <c r="N399" s="1"/>
      <c r="T399" s="1"/>
      <c r="U399" s="1"/>
      <c r="V399" s="1"/>
      <c r="W399" s="1"/>
      <c r="X399" s="1"/>
      <c r="Y399" s="1"/>
      <c r="Z399" s="1"/>
      <c r="AA399" s="1"/>
    </row>
    <row r="400" spans="1:27" ht="14" x14ac:dyDescent="0.15">
      <c r="A400" s="9">
        <v>399</v>
      </c>
      <c r="B400" s="9" t="s">
        <v>421</v>
      </c>
      <c r="C400" s="9" t="s">
        <v>23</v>
      </c>
      <c r="D400" s="10">
        <v>265.88</v>
      </c>
      <c r="E400" s="10">
        <v>265.88</v>
      </c>
      <c r="F400" s="10">
        <v>0.18</v>
      </c>
      <c r="G400" s="9">
        <f t="shared" si="23"/>
        <v>122.48178000000004</v>
      </c>
      <c r="H400" s="13" t="s">
        <v>381</v>
      </c>
      <c r="I400" s="12"/>
      <c r="K400">
        <f t="shared" si="24"/>
        <v>265.88</v>
      </c>
      <c r="L400" s="1"/>
      <c r="M400" s="1"/>
      <c r="N400" s="1"/>
      <c r="T400" s="1"/>
      <c r="U400" s="1"/>
      <c r="V400" s="1"/>
      <c r="W400" s="1"/>
      <c r="X400" s="1"/>
      <c r="Y400" s="1"/>
      <c r="Z400" s="1"/>
      <c r="AA400" s="1"/>
    </row>
    <row r="401" spans="1:27" ht="14" x14ac:dyDescent="0.15">
      <c r="A401" s="9">
        <v>400</v>
      </c>
      <c r="B401" s="9" t="s">
        <v>422</v>
      </c>
      <c r="C401" s="9" t="s">
        <v>19</v>
      </c>
      <c r="D401" s="10">
        <v>277.01</v>
      </c>
      <c r="E401" s="10">
        <v>285.51</v>
      </c>
      <c r="F401" s="10">
        <v>20.54</v>
      </c>
      <c r="G401" s="9">
        <f t="shared" si="23"/>
        <v>122.76729000000005</v>
      </c>
      <c r="H401" s="13" t="s">
        <v>381</v>
      </c>
      <c r="I401" s="12"/>
      <c r="J401" s="7">
        <f t="shared" ref="J401:J402" si="25">D401+8.5</f>
        <v>285.51</v>
      </c>
      <c r="K401">
        <f t="shared" si="24"/>
        <v>285.51</v>
      </c>
      <c r="L401" s="1"/>
      <c r="M401" s="1"/>
      <c r="N401" s="1"/>
      <c r="T401" s="1"/>
      <c r="U401" s="1"/>
      <c r="V401" s="1"/>
      <c r="W401" s="1"/>
      <c r="X401" s="1"/>
      <c r="Y401" s="1"/>
      <c r="Z401" s="1"/>
      <c r="AA401" s="1"/>
    </row>
    <row r="402" spans="1:27" ht="14" x14ac:dyDescent="0.15">
      <c r="A402" s="9">
        <v>401</v>
      </c>
      <c r="B402" s="9" t="s">
        <v>423</v>
      </c>
      <c r="C402" s="9" t="s">
        <v>19</v>
      </c>
      <c r="D402" s="10">
        <v>253.24</v>
      </c>
      <c r="E402" s="10">
        <v>261.74</v>
      </c>
      <c r="F402" s="10">
        <v>30.68</v>
      </c>
      <c r="G402" s="9">
        <f t="shared" si="23"/>
        <v>123.02903000000005</v>
      </c>
      <c r="H402" s="13" t="s">
        <v>381</v>
      </c>
      <c r="I402" s="12"/>
      <c r="J402" s="7">
        <f t="shared" si="25"/>
        <v>261.74</v>
      </c>
      <c r="K402">
        <f t="shared" si="24"/>
        <v>261.74</v>
      </c>
      <c r="L402" s="1"/>
      <c r="M402" s="1"/>
      <c r="N402" s="1"/>
      <c r="T402" s="1"/>
      <c r="U402" s="1"/>
      <c r="V402" s="1"/>
      <c r="W402" s="1"/>
      <c r="X402" s="1"/>
      <c r="Y402" s="1"/>
      <c r="Z402" s="1"/>
      <c r="AA402" s="1"/>
    </row>
    <row r="403" spans="1:27" ht="14" x14ac:dyDescent="0.15">
      <c r="A403" s="9">
        <v>402</v>
      </c>
      <c r="B403" s="9" t="s">
        <v>424</v>
      </c>
      <c r="C403" s="9" t="s">
        <v>23</v>
      </c>
      <c r="D403" s="10">
        <v>274.29000000000002</v>
      </c>
      <c r="E403" s="10">
        <v>274.29000000000002</v>
      </c>
      <c r="F403" s="10">
        <v>0.92</v>
      </c>
      <c r="G403" s="9">
        <f t="shared" si="23"/>
        <v>123.30332000000004</v>
      </c>
      <c r="H403" s="13" t="s">
        <v>381</v>
      </c>
      <c r="I403" s="12"/>
      <c r="K403">
        <f t="shared" si="24"/>
        <v>274.29000000000002</v>
      </c>
      <c r="L403" s="1"/>
      <c r="M403" s="1"/>
      <c r="N403" s="1"/>
      <c r="T403" s="1"/>
      <c r="U403" s="1"/>
      <c r="V403" s="1"/>
      <c r="W403" s="1"/>
      <c r="X403" s="1"/>
      <c r="Y403" s="1"/>
      <c r="Z403" s="1"/>
      <c r="AA403" s="1"/>
    </row>
    <row r="404" spans="1:27" ht="14" x14ac:dyDescent="0.15">
      <c r="A404" s="9">
        <v>403</v>
      </c>
      <c r="B404" s="9" t="s">
        <v>425</v>
      </c>
      <c r="C404" s="9" t="s">
        <v>28</v>
      </c>
      <c r="D404" s="10">
        <v>347.81</v>
      </c>
      <c r="E404" s="10">
        <v>356.31</v>
      </c>
      <c r="F404" s="10">
        <v>24.17</v>
      </c>
      <c r="G404" s="9">
        <f t="shared" si="23"/>
        <v>123.65963000000004</v>
      </c>
      <c r="H404" s="13" t="s">
        <v>381</v>
      </c>
      <c r="I404" s="12"/>
      <c r="J404" s="7">
        <f>D404+8.5</f>
        <v>356.31</v>
      </c>
      <c r="K404">
        <f t="shared" si="24"/>
        <v>356.31</v>
      </c>
      <c r="L404" s="1"/>
      <c r="M404" s="1"/>
      <c r="N404" s="1"/>
      <c r="T404" s="1"/>
      <c r="U404" s="1"/>
      <c r="V404" s="1"/>
      <c r="W404" s="1"/>
      <c r="X404" s="1"/>
      <c r="Y404" s="1"/>
      <c r="Z404" s="1"/>
      <c r="AA404" s="1"/>
    </row>
    <row r="405" spans="1:27" ht="14" x14ac:dyDescent="0.15">
      <c r="A405" s="9">
        <v>404</v>
      </c>
      <c r="B405" s="9" t="s">
        <v>426</v>
      </c>
      <c r="C405" s="9" t="s">
        <v>23</v>
      </c>
      <c r="D405" s="10">
        <v>328.76</v>
      </c>
      <c r="E405" s="10">
        <v>328.76</v>
      </c>
      <c r="F405" s="10">
        <v>0.13</v>
      </c>
      <c r="G405" s="9">
        <f t="shared" si="23"/>
        <v>123.98839000000004</v>
      </c>
      <c r="H405" s="13" t="s">
        <v>381</v>
      </c>
      <c r="I405" s="12"/>
      <c r="K405">
        <f t="shared" si="24"/>
        <v>328.76</v>
      </c>
      <c r="L405" s="1"/>
      <c r="M405" s="1"/>
      <c r="N405" s="1"/>
      <c r="T405" s="1"/>
      <c r="U405" s="1"/>
      <c r="V405" s="1"/>
      <c r="W405" s="1"/>
      <c r="X405" s="1"/>
      <c r="Y405" s="1"/>
      <c r="Z405" s="1"/>
      <c r="AA405" s="1"/>
    </row>
    <row r="406" spans="1:27" ht="14" x14ac:dyDescent="0.15">
      <c r="A406" s="9">
        <v>405</v>
      </c>
      <c r="B406" s="9" t="s">
        <v>427</v>
      </c>
      <c r="C406" s="9" t="s">
        <v>23</v>
      </c>
      <c r="D406" s="10">
        <v>299.36</v>
      </c>
      <c r="E406" s="10">
        <v>299.36</v>
      </c>
      <c r="F406" s="10">
        <v>0.33</v>
      </c>
      <c r="G406" s="9">
        <f t="shared" si="23"/>
        <v>124.28775000000003</v>
      </c>
      <c r="H406" s="13" t="s">
        <v>381</v>
      </c>
      <c r="I406" s="12"/>
      <c r="K406">
        <f t="shared" si="24"/>
        <v>299.36</v>
      </c>
      <c r="L406" s="1"/>
      <c r="M406" s="1"/>
      <c r="N406" s="1"/>
      <c r="T406" s="1"/>
      <c r="U406" s="1"/>
      <c r="V406" s="1"/>
      <c r="W406" s="1"/>
      <c r="X406" s="1"/>
      <c r="Y406" s="1"/>
      <c r="Z406" s="1"/>
      <c r="AA406" s="1"/>
    </row>
    <row r="407" spans="1:27" ht="14" x14ac:dyDescent="0.15">
      <c r="A407" s="9">
        <v>406</v>
      </c>
      <c r="B407" s="9" t="s">
        <v>428</v>
      </c>
      <c r="C407" s="9" t="s">
        <v>23</v>
      </c>
      <c r="D407" s="10">
        <v>347.11</v>
      </c>
      <c r="E407" s="10">
        <v>347.11</v>
      </c>
      <c r="F407" s="10">
        <v>1.1499999999999999</v>
      </c>
      <c r="G407" s="9">
        <f t="shared" si="23"/>
        <v>124.63486000000003</v>
      </c>
      <c r="H407" s="13" t="s">
        <v>381</v>
      </c>
      <c r="I407" s="12"/>
      <c r="K407">
        <f t="shared" si="24"/>
        <v>347.11</v>
      </c>
      <c r="L407" s="1"/>
      <c r="M407" s="1"/>
      <c r="N407" s="1"/>
      <c r="T407" s="1"/>
      <c r="U407" s="1"/>
      <c r="V407" s="1"/>
      <c r="W407" s="1"/>
      <c r="X407" s="1"/>
      <c r="Y407" s="1"/>
      <c r="Z407" s="1"/>
      <c r="AA407" s="1"/>
    </row>
    <row r="408" spans="1:27" ht="14" x14ac:dyDescent="0.15">
      <c r="A408" s="9">
        <v>407</v>
      </c>
      <c r="B408" s="9" t="s">
        <v>429</v>
      </c>
      <c r="C408" s="9" t="s">
        <v>23</v>
      </c>
      <c r="D408" s="10">
        <v>346.03</v>
      </c>
      <c r="E408" s="10">
        <v>346.03</v>
      </c>
      <c r="F408" s="10">
        <v>0.17</v>
      </c>
      <c r="G408" s="9">
        <f t="shared" si="23"/>
        <v>124.98089000000003</v>
      </c>
      <c r="H408" s="13" t="s">
        <v>381</v>
      </c>
      <c r="I408" s="12"/>
      <c r="K408">
        <f t="shared" si="24"/>
        <v>346.03</v>
      </c>
      <c r="L408" s="1"/>
      <c r="M408" s="1"/>
      <c r="N408" s="1"/>
      <c r="T408" s="1"/>
      <c r="U408" s="1"/>
      <c r="V408" s="1"/>
      <c r="W408" s="1"/>
      <c r="X408" s="1"/>
      <c r="Y408" s="1"/>
      <c r="Z408" s="1"/>
      <c r="AA408" s="1"/>
    </row>
    <row r="409" spans="1:27" ht="14" x14ac:dyDescent="0.15">
      <c r="A409" s="9">
        <v>408</v>
      </c>
      <c r="B409" s="9" t="s">
        <v>430</v>
      </c>
      <c r="C409" s="9" t="s">
        <v>28</v>
      </c>
      <c r="D409" s="10">
        <v>271.76</v>
      </c>
      <c r="E409" s="10">
        <v>280.26</v>
      </c>
      <c r="F409" s="10">
        <v>23.99</v>
      </c>
      <c r="G409" s="9">
        <f t="shared" si="23"/>
        <v>125.26115000000003</v>
      </c>
      <c r="H409" s="13" t="s">
        <v>381</v>
      </c>
      <c r="I409" s="12"/>
      <c r="J409" s="7">
        <f>D409+8.5</f>
        <v>280.26</v>
      </c>
      <c r="K409">
        <f t="shared" si="24"/>
        <v>280.26</v>
      </c>
      <c r="L409" s="1"/>
      <c r="M409" s="1"/>
      <c r="N409" s="1"/>
      <c r="T409" s="1"/>
      <c r="U409" s="1"/>
      <c r="V409" s="1"/>
      <c r="W409" s="1"/>
      <c r="X409" s="1"/>
      <c r="Y409" s="1"/>
      <c r="Z409" s="1"/>
      <c r="AA409" s="1"/>
    </row>
    <row r="410" spans="1:27" ht="14" x14ac:dyDescent="0.15">
      <c r="A410" s="9">
        <v>409</v>
      </c>
      <c r="B410" s="9" t="s">
        <v>431</v>
      </c>
      <c r="C410" s="9" t="s">
        <v>23</v>
      </c>
      <c r="D410" s="10">
        <v>290.29000000000002</v>
      </c>
      <c r="E410" s="10">
        <v>290.29000000000002</v>
      </c>
      <c r="F410" s="10">
        <v>0.69</v>
      </c>
      <c r="G410" s="9">
        <f t="shared" si="23"/>
        <v>125.55144000000003</v>
      </c>
      <c r="H410" s="13" t="s">
        <v>381</v>
      </c>
      <c r="I410" s="12"/>
      <c r="K410">
        <f t="shared" si="24"/>
        <v>290.29000000000002</v>
      </c>
      <c r="L410" s="1"/>
      <c r="M410" s="1"/>
      <c r="N410" s="1"/>
      <c r="T410" s="1"/>
      <c r="U410" s="1"/>
      <c r="V410" s="1"/>
      <c r="W410" s="1"/>
      <c r="X410" s="1"/>
      <c r="Y410" s="1"/>
      <c r="Z410" s="1"/>
      <c r="AA410" s="1"/>
    </row>
    <row r="411" spans="1:27" ht="14" x14ac:dyDescent="0.15">
      <c r="A411" s="9">
        <v>410</v>
      </c>
      <c r="B411" s="9" t="s">
        <v>432</v>
      </c>
      <c r="C411" s="9" t="s">
        <v>23</v>
      </c>
      <c r="D411" s="10">
        <v>306.11</v>
      </c>
      <c r="E411" s="10">
        <v>306.11</v>
      </c>
      <c r="F411" s="10">
        <v>0.12</v>
      </c>
      <c r="G411" s="9">
        <f t="shared" si="23"/>
        <v>125.85755000000003</v>
      </c>
      <c r="H411" s="13" t="s">
        <v>381</v>
      </c>
      <c r="I411" s="12"/>
      <c r="K411">
        <f t="shared" si="24"/>
        <v>306.11</v>
      </c>
      <c r="L411" s="1"/>
      <c r="M411" s="1"/>
      <c r="N411" s="1"/>
      <c r="T411" s="1"/>
      <c r="U411" s="1"/>
      <c r="V411" s="1"/>
      <c r="W411" s="1"/>
      <c r="X411" s="1"/>
      <c r="Y411" s="1"/>
      <c r="Z411" s="1"/>
      <c r="AA411" s="1"/>
    </row>
    <row r="412" spans="1:27" ht="14" x14ac:dyDescent="0.15">
      <c r="A412" s="9">
        <v>411</v>
      </c>
      <c r="B412" s="9" t="s">
        <v>433</v>
      </c>
      <c r="C412" s="9" t="s">
        <v>23</v>
      </c>
      <c r="D412" s="10">
        <v>328.82</v>
      </c>
      <c r="E412" s="10">
        <v>328.82</v>
      </c>
      <c r="F412" s="10">
        <v>0.34</v>
      </c>
      <c r="G412" s="9">
        <f t="shared" si="23"/>
        <v>126.18637000000003</v>
      </c>
      <c r="H412" s="13" t="s">
        <v>381</v>
      </c>
      <c r="I412" s="12"/>
      <c r="K412">
        <f t="shared" si="24"/>
        <v>328.82</v>
      </c>
      <c r="L412" s="1"/>
      <c r="M412" s="1"/>
      <c r="N412" s="1"/>
      <c r="T412" s="1"/>
      <c r="U412" s="1"/>
      <c r="V412" s="1"/>
      <c r="W412" s="1"/>
      <c r="X412" s="1"/>
      <c r="Y412" s="1"/>
      <c r="Z412" s="1"/>
      <c r="AA412" s="1"/>
    </row>
    <row r="413" spans="1:27" ht="14" x14ac:dyDescent="0.15">
      <c r="A413" s="9">
        <v>412</v>
      </c>
      <c r="B413" s="9" t="s">
        <v>434</v>
      </c>
      <c r="C413" s="9" t="s">
        <v>23</v>
      </c>
      <c r="D413" s="10">
        <v>384.89</v>
      </c>
      <c r="E413" s="10">
        <v>384.89</v>
      </c>
      <c r="F413" s="10">
        <v>0.12</v>
      </c>
      <c r="G413" s="9">
        <f t="shared" si="23"/>
        <v>126.57126000000002</v>
      </c>
      <c r="H413" s="13" t="s">
        <v>381</v>
      </c>
      <c r="I413" s="12"/>
      <c r="K413">
        <f t="shared" si="24"/>
        <v>384.89</v>
      </c>
      <c r="L413" s="1"/>
      <c r="M413" s="1"/>
      <c r="N413" s="1"/>
      <c r="T413" s="1"/>
      <c r="U413" s="1"/>
      <c r="V413" s="1"/>
      <c r="W413" s="1"/>
      <c r="X413" s="1"/>
      <c r="Y413" s="1"/>
      <c r="Z413" s="1"/>
      <c r="AA413" s="1"/>
    </row>
    <row r="414" spans="1:27" ht="14" x14ac:dyDescent="0.15">
      <c r="A414" s="9">
        <v>413</v>
      </c>
      <c r="B414" s="9" t="s">
        <v>435</v>
      </c>
      <c r="C414" s="9" t="s">
        <v>23</v>
      </c>
      <c r="D414" s="10">
        <v>341.56</v>
      </c>
      <c r="E414" s="10">
        <v>341.56</v>
      </c>
      <c r="F414" s="10">
        <v>1.19</v>
      </c>
      <c r="G414" s="9">
        <f t="shared" si="23"/>
        <v>126.91282000000002</v>
      </c>
      <c r="H414" s="13" t="s">
        <v>381</v>
      </c>
      <c r="I414" s="12"/>
      <c r="K414">
        <f t="shared" si="24"/>
        <v>341.56</v>
      </c>
      <c r="L414" s="1"/>
      <c r="M414" s="1"/>
      <c r="N414" s="1"/>
      <c r="T414" s="1"/>
      <c r="U414" s="1"/>
      <c r="V414" s="1"/>
      <c r="W414" s="1"/>
      <c r="X414" s="1"/>
      <c r="Y414" s="1"/>
      <c r="Z414" s="1"/>
      <c r="AA414" s="1"/>
    </row>
    <row r="415" spans="1:27" ht="14" x14ac:dyDescent="0.15">
      <c r="A415" s="9">
        <v>414</v>
      </c>
      <c r="B415" s="9" t="s">
        <v>436</v>
      </c>
      <c r="C415" s="9" t="s">
        <v>16</v>
      </c>
      <c r="D415" s="10">
        <v>268.04000000000002</v>
      </c>
      <c r="E415" s="10">
        <v>268.04000000000002</v>
      </c>
      <c r="F415" s="10">
        <v>16.91</v>
      </c>
      <c r="G415" s="9">
        <f t="shared" si="23"/>
        <v>127.18086000000002</v>
      </c>
      <c r="H415" s="13" t="s">
        <v>381</v>
      </c>
      <c r="I415" s="12"/>
      <c r="K415">
        <f t="shared" si="24"/>
        <v>268.04000000000002</v>
      </c>
      <c r="L415" s="1"/>
      <c r="M415" s="1"/>
      <c r="N415" s="1"/>
      <c r="T415" s="1"/>
      <c r="U415" s="1"/>
      <c r="V415" s="1"/>
      <c r="W415" s="1"/>
      <c r="X415" s="1"/>
      <c r="Y415" s="1"/>
      <c r="Z415" s="1"/>
      <c r="AA415" s="1"/>
    </row>
    <row r="416" spans="1:27" ht="14" x14ac:dyDescent="0.15">
      <c r="A416" s="9">
        <v>415</v>
      </c>
      <c r="B416" s="9" t="s">
        <v>437</v>
      </c>
      <c r="C416" s="9" t="s">
        <v>23</v>
      </c>
      <c r="D416" s="10">
        <v>286.11</v>
      </c>
      <c r="E416" s="10">
        <v>286.11</v>
      </c>
      <c r="F416" s="10">
        <v>1.05</v>
      </c>
      <c r="G416" s="9">
        <f t="shared" si="23"/>
        <v>127.46697000000002</v>
      </c>
      <c r="H416" s="13" t="s">
        <v>381</v>
      </c>
      <c r="I416" s="12"/>
      <c r="K416">
        <f t="shared" si="24"/>
        <v>286.11</v>
      </c>
      <c r="L416" s="1"/>
      <c r="M416" s="1"/>
      <c r="N416" s="1"/>
      <c r="T416" s="1"/>
      <c r="U416" s="1"/>
      <c r="V416" s="1"/>
      <c r="W416" s="1"/>
      <c r="X416" s="1"/>
      <c r="Y416" s="1"/>
      <c r="Z416" s="1"/>
      <c r="AA416" s="1"/>
    </row>
    <row r="417" spans="1:27" ht="14" x14ac:dyDescent="0.15">
      <c r="A417" s="9">
        <v>416</v>
      </c>
      <c r="B417" s="9" t="s">
        <v>438</v>
      </c>
      <c r="C417" s="9" t="s">
        <v>23</v>
      </c>
      <c r="D417" s="10">
        <v>332.26</v>
      </c>
      <c r="E417" s="10">
        <v>332.26</v>
      </c>
      <c r="F417" s="10">
        <v>0.03</v>
      </c>
      <c r="G417" s="9">
        <f t="shared" si="23"/>
        <v>127.79923000000002</v>
      </c>
      <c r="H417" s="13" t="s">
        <v>381</v>
      </c>
      <c r="I417" s="12"/>
      <c r="K417">
        <f t="shared" si="24"/>
        <v>332.26</v>
      </c>
      <c r="L417" s="1"/>
      <c r="M417" s="1"/>
      <c r="N417" s="1"/>
      <c r="T417" s="1"/>
      <c r="U417" s="1"/>
      <c r="V417" s="1"/>
      <c r="W417" s="1"/>
      <c r="X417" s="1"/>
      <c r="Y417" s="1"/>
      <c r="Z417" s="1"/>
      <c r="AA417" s="1"/>
    </row>
    <row r="418" spans="1:27" ht="14" x14ac:dyDescent="0.15">
      <c r="A418" s="9">
        <v>417</v>
      </c>
      <c r="B418" s="9" t="s">
        <v>439</v>
      </c>
      <c r="C418" s="9" t="s">
        <v>23</v>
      </c>
      <c r="D418" s="10">
        <v>338.84</v>
      </c>
      <c r="E418" s="10">
        <v>338.84</v>
      </c>
      <c r="F418" s="10">
        <v>1.1200000000000001</v>
      </c>
      <c r="G418" s="9">
        <f t="shared" si="23"/>
        <v>128.13807000000003</v>
      </c>
      <c r="H418" s="13" t="s">
        <v>381</v>
      </c>
      <c r="I418" s="12"/>
      <c r="K418">
        <f t="shared" si="24"/>
        <v>338.84</v>
      </c>
      <c r="L418" s="1"/>
      <c r="M418" s="1"/>
      <c r="N418" s="1"/>
      <c r="T418" s="1"/>
      <c r="U418" s="1"/>
      <c r="V418" s="1"/>
      <c r="W418" s="1"/>
      <c r="X418" s="1"/>
      <c r="Y418" s="1"/>
      <c r="Z418" s="1"/>
      <c r="AA418" s="1"/>
    </row>
    <row r="419" spans="1:27" ht="14" x14ac:dyDescent="0.15">
      <c r="A419" s="9">
        <v>418</v>
      </c>
      <c r="B419" s="9" t="s">
        <v>440</v>
      </c>
      <c r="C419" s="9" t="s">
        <v>16</v>
      </c>
      <c r="D419" s="10">
        <v>364.89</v>
      </c>
      <c r="E419" s="10">
        <v>364.89</v>
      </c>
      <c r="F419" s="10">
        <v>9.0399999999999991</v>
      </c>
      <c r="G419" s="9">
        <f t="shared" si="23"/>
        <v>128.50296000000003</v>
      </c>
      <c r="H419" s="13" t="s">
        <v>381</v>
      </c>
      <c r="I419" s="12"/>
      <c r="K419">
        <f t="shared" si="24"/>
        <v>364.89</v>
      </c>
      <c r="L419" s="1"/>
      <c r="M419" s="1"/>
      <c r="N419" s="1"/>
      <c r="T419" s="1"/>
      <c r="U419" s="1"/>
      <c r="V419" s="1"/>
      <c r="W419" s="1"/>
      <c r="X419" s="1"/>
      <c r="Y419" s="1"/>
      <c r="Z419" s="1"/>
      <c r="AA419" s="1"/>
    </row>
    <row r="420" spans="1:27" ht="14" x14ac:dyDescent="0.15">
      <c r="A420" s="9">
        <v>419</v>
      </c>
      <c r="B420" s="9" t="s">
        <v>441</v>
      </c>
      <c r="C420" s="9" t="s">
        <v>23</v>
      </c>
      <c r="D420" s="10">
        <v>262.02</v>
      </c>
      <c r="E420" s="10">
        <v>262.02</v>
      </c>
      <c r="F420" s="10">
        <v>0.43</v>
      </c>
      <c r="G420" s="9">
        <f t="shared" si="23"/>
        <v>128.76498000000004</v>
      </c>
      <c r="H420" s="13" t="s">
        <v>381</v>
      </c>
      <c r="I420" s="12"/>
      <c r="K420">
        <f t="shared" si="24"/>
        <v>262.02</v>
      </c>
      <c r="L420" s="1"/>
      <c r="M420" s="1"/>
      <c r="N420" s="1"/>
      <c r="T420" s="1"/>
      <c r="U420" s="1"/>
      <c r="V420" s="1"/>
      <c r="W420" s="1"/>
      <c r="X420" s="1"/>
      <c r="Y420" s="1"/>
      <c r="Z420" s="1"/>
      <c r="AA420" s="1"/>
    </row>
    <row r="421" spans="1:27" ht="14" x14ac:dyDescent="0.15">
      <c r="A421" s="9">
        <v>420</v>
      </c>
      <c r="B421" s="9" t="s">
        <v>442</v>
      </c>
      <c r="C421" s="9" t="s">
        <v>23</v>
      </c>
      <c r="D421" s="10">
        <v>339.29</v>
      </c>
      <c r="E421" s="10">
        <v>339.29</v>
      </c>
      <c r="F421" s="10">
        <v>0.02</v>
      </c>
      <c r="G421" s="9">
        <f t="shared" si="23"/>
        <v>129.10427000000004</v>
      </c>
      <c r="H421" s="13" t="s">
        <v>381</v>
      </c>
      <c r="I421" s="12"/>
      <c r="K421">
        <f t="shared" si="24"/>
        <v>339.29</v>
      </c>
      <c r="L421" s="1"/>
      <c r="M421" s="1"/>
      <c r="N421" s="1"/>
      <c r="T421" s="1"/>
      <c r="U421" s="1"/>
      <c r="V421" s="1"/>
      <c r="W421" s="1"/>
      <c r="X421" s="1"/>
      <c r="Y421" s="1"/>
      <c r="Z421" s="1"/>
      <c r="AA421" s="1"/>
    </row>
    <row r="422" spans="1:27" ht="14" x14ac:dyDescent="0.15">
      <c r="A422" s="9">
        <v>421</v>
      </c>
      <c r="B422" s="9" t="s">
        <v>443</v>
      </c>
      <c r="C422" s="9" t="s">
        <v>23</v>
      </c>
      <c r="D422" s="10">
        <v>323.41000000000003</v>
      </c>
      <c r="E422" s="10">
        <v>323.41000000000003</v>
      </c>
      <c r="F422" s="10">
        <v>0.13</v>
      </c>
      <c r="G422" s="9">
        <f t="shared" si="23"/>
        <v>129.42768000000004</v>
      </c>
      <c r="H422" s="13" t="s">
        <v>381</v>
      </c>
      <c r="I422" s="12"/>
      <c r="K422">
        <f t="shared" si="24"/>
        <v>323.41000000000003</v>
      </c>
      <c r="L422" s="1"/>
      <c r="M422" s="1"/>
      <c r="N422" s="1"/>
      <c r="T422" s="1"/>
      <c r="U422" s="1"/>
      <c r="V422" s="1"/>
      <c r="W422" s="1"/>
      <c r="X422" s="1"/>
      <c r="Y422" s="1"/>
      <c r="Z422" s="1"/>
      <c r="AA422" s="1"/>
    </row>
    <row r="423" spans="1:27" ht="14" x14ac:dyDescent="0.15">
      <c r="A423" s="9">
        <v>422</v>
      </c>
      <c r="B423" s="9" t="s">
        <v>444</v>
      </c>
      <c r="C423" s="9" t="s">
        <v>23</v>
      </c>
      <c r="D423" s="10">
        <v>263.70999999999998</v>
      </c>
      <c r="E423" s="10">
        <v>263.70999999999998</v>
      </c>
      <c r="F423" s="10">
        <v>0.24</v>
      </c>
      <c r="G423" s="9">
        <f t="shared" si="23"/>
        <v>129.69139000000004</v>
      </c>
      <c r="H423" s="13" t="s">
        <v>381</v>
      </c>
      <c r="I423" s="12"/>
      <c r="K423">
        <f t="shared" si="24"/>
        <v>263.70999999999998</v>
      </c>
      <c r="L423" s="1"/>
      <c r="M423" s="1"/>
      <c r="N423" s="1"/>
      <c r="T423" s="1"/>
      <c r="U423" s="1"/>
      <c r="V423" s="1"/>
      <c r="W423" s="1"/>
      <c r="X423" s="1"/>
      <c r="Y423" s="1"/>
      <c r="Z423" s="1"/>
      <c r="AA423" s="1"/>
    </row>
    <row r="424" spans="1:27" ht="14" x14ac:dyDescent="0.15">
      <c r="A424" s="9">
        <v>423</v>
      </c>
      <c r="B424" s="9" t="s">
        <v>445</v>
      </c>
      <c r="C424" s="9" t="s">
        <v>23</v>
      </c>
      <c r="D424" s="10">
        <v>335.75</v>
      </c>
      <c r="E424" s="10">
        <v>335.75</v>
      </c>
      <c r="F424" s="10">
        <v>0.27</v>
      </c>
      <c r="G424" s="9">
        <f t="shared" si="23"/>
        <v>130.02714000000003</v>
      </c>
      <c r="H424" s="13" t="s">
        <v>381</v>
      </c>
      <c r="I424" s="12"/>
      <c r="K424">
        <f t="shared" si="24"/>
        <v>335.75</v>
      </c>
      <c r="L424" s="1"/>
      <c r="M424" s="1"/>
      <c r="N424" s="1"/>
      <c r="T424" s="1"/>
      <c r="U424" s="1"/>
      <c r="V424" s="1"/>
      <c r="W424" s="1"/>
      <c r="X424" s="1"/>
      <c r="Y424" s="1"/>
      <c r="Z424" s="1"/>
      <c r="AA424" s="1"/>
    </row>
    <row r="425" spans="1:27" ht="14" x14ac:dyDescent="0.15">
      <c r="A425" s="9">
        <v>424</v>
      </c>
      <c r="B425" s="9" t="s">
        <v>446</v>
      </c>
      <c r="C425" s="9" t="s">
        <v>23</v>
      </c>
      <c r="D425" s="10">
        <v>344.46</v>
      </c>
      <c r="E425" s="10">
        <v>344.46</v>
      </c>
      <c r="F425" s="10">
        <v>0.03</v>
      </c>
      <c r="G425" s="9">
        <f t="shared" si="23"/>
        <v>130.37160000000003</v>
      </c>
      <c r="H425" s="13" t="s">
        <v>381</v>
      </c>
      <c r="I425" s="12"/>
      <c r="K425">
        <f t="shared" si="24"/>
        <v>344.46</v>
      </c>
      <c r="L425" s="1"/>
      <c r="M425" s="1"/>
      <c r="N425" s="1"/>
      <c r="T425" s="1"/>
      <c r="U425" s="1"/>
      <c r="V425" s="1"/>
      <c r="W425" s="1"/>
      <c r="X425" s="1"/>
      <c r="Y425" s="1"/>
      <c r="Z425" s="1"/>
      <c r="AA425" s="1"/>
    </row>
    <row r="426" spans="1:27" ht="14" x14ac:dyDescent="0.15">
      <c r="A426" s="9">
        <v>425</v>
      </c>
      <c r="B426" s="9" t="s">
        <v>447</v>
      </c>
      <c r="C426" s="9" t="s">
        <v>23</v>
      </c>
      <c r="D426" s="10">
        <v>297.45</v>
      </c>
      <c r="E426" s="10">
        <v>297.45</v>
      </c>
      <c r="F426" s="10">
        <v>0.15</v>
      </c>
      <c r="G426" s="9">
        <f t="shared" si="23"/>
        <v>130.66905000000003</v>
      </c>
      <c r="H426" s="13" t="s">
        <v>381</v>
      </c>
      <c r="I426" s="12"/>
      <c r="K426">
        <f t="shared" si="24"/>
        <v>297.45</v>
      </c>
      <c r="L426" s="1"/>
      <c r="M426" s="1"/>
      <c r="N426" s="1"/>
      <c r="T426" s="1"/>
      <c r="U426" s="1"/>
      <c r="V426" s="1"/>
      <c r="W426" s="1"/>
      <c r="X426" s="1"/>
      <c r="Y426" s="1"/>
      <c r="Z426" s="1"/>
      <c r="AA426" s="1"/>
    </row>
    <row r="427" spans="1:27" ht="14" x14ac:dyDescent="0.15">
      <c r="A427" s="9">
        <v>426</v>
      </c>
      <c r="B427" s="9" t="s">
        <v>448</v>
      </c>
      <c r="C427" s="9" t="s">
        <v>23</v>
      </c>
      <c r="D427" s="10">
        <v>333.92</v>
      </c>
      <c r="E427" s="10">
        <v>333.92</v>
      </c>
      <c r="F427" s="10">
        <v>0.56999999999999995</v>
      </c>
      <c r="G427" s="9">
        <f t="shared" si="23"/>
        <v>131.00297000000003</v>
      </c>
      <c r="H427" s="13" t="s">
        <v>381</v>
      </c>
      <c r="I427" s="12"/>
      <c r="K427">
        <f t="shared" si="24"/>
        <v>333.92</v>
      </c>
      <c r="L427" s="1"/>
      <c r="M427" s="1"/>
      <c r="N427" s="1"/>
      <c r="T427" s="1"/>
      <c r="U427" s="1"/>
      <c r="V427" s="1"/>
      <c r="W427" s="1"/>
      <c r="X427" s="1"/>
      <c r="Y427" s="1"/>
      <c r="Z427" s="1"/>
      <c r="AA427" s="1"/>
    </row>
    <row r="428" spans="1:27" ht="14" x14ac:dyDescent="0.15">
      <c r="A428" s="9">
        <v>427</v>
      </c>
      <c r="B428" s="9" t="s">
        <v>449</v>
      </c>
      <c r="C428" s="9" t="s">
        <v>23</v>
      </c>
      <c r="D428" s="10">
        <v>288.56</v>
      </c>
      <c r="E428" s="10">
        <v>288.56</v>
      </c>
      <c r="F428" s="10">
        <v>0.32</v>
      </c>
      <c r="G428" s="9">
        <f t="shared" si="23"/>
        <v>131.29153000000002</v>
      </c>
      <c r="H428" s="13" t="s">
        <v>381</v>
      </c>
      <c r="I428" s="12"/>
      <c r="K428">
        <f t="shared" si="24"/>
        <v>288.56</v>
      </c>
      <c r="L428" s="1"/>
      <c r="M428" s="1"/>
      <c r="N428" s="1"/>
      <c r="T428" s="1"/>
      <c r="U428" s="1"/>
      <c r="V428" s="1"/>
      <c r="W428" s="1"/>
      <c r="X428" s="1"/>
      <c r="Y428" s="1"/>
      <c r="Z428" s="1"/>
      <c r="AA428" s="1"/>
    </row>
    <row r="429" spans="1:27" ht="14" x14ac:dyDescent="0.15">
      <c r="A429" s="9">
        <v>428</v>
      </c>
      <c r="B429" s="9" t="s">
        <v>450</v>
      </c>
      <c r="C429" s="9" t="s">
        <v>16</v>
      </c>
      <c r="D429" s="10">
        <v>342.34</v>
      </c>
      <c r="E429" s="10">
        <v>342.34</v>
      </c>
      <c r="F429" s="10">
        <v>4.96</v>
      </c>
      <c r="G429" s="9">
        <f t="shared" si="23"/>
        <v>131.63387000000003</v>
      </c>
      <c r="H429" s="13" t="s">
        <v>381</v>
      </c>
      <c r="I429" s="12"/>
      <c r="K429">
        <f t="shared" si="24"/>
        <v>342.34</v>
      </c>
      <c r="L429" s="1"/>
      <c r="M429" s="1"/>
      <c r="N429" s="1"/>
      <c r="T429" s="1"/>
      <c r="U429" s="1"/>
      <c r="V429" s="1"/>
      <c r="W429" s="1"/>
      <c r="X429" s="1"/>
      <c r="Y429" s="1"/>
      <c r="Z429" s="1"/>
      <c r="AA429" s="1"/>
    </row>
    <row r="430" spans="1:27" ht="14" x14ac:dyDescent="0.15">
      <c r="A430" s="9">
        <v>429</v>
      </c>
      <c r="B430" s="9" t="s">
        <v>451</v>
      </c>
      <c r="C430" s="9" t="s">
        <v>23</v>
      </c>
      <c r="D430" s="10">
        <v>360.44</v>
      </c>
      <c r="E430" s="10">
        <v>360.44</v>
      </c>
      <c r="F430" s="10">
        <v>1.3</v>
      </c>
      <c r="G430" s="9">
        <f t="shared" si="23"/>
        <v>131.99431000000004</v>
      </c>
      <c r="H430" s="13" t="s">
        <v>381</v>
      </c>
      <c r="I430" s="12"/>
      <c r="K430">
        <f t="shared" si="24"/>
        <v>360.44</v>
      </c>
      <c r="L430" s="1"/>
      <c r="M430" s="1"/>
      <c r="N430" s="1"/>
      <c r="T430" s="1"/>
      <c r="U430" s="1"/>
      <c r="V430" s="1"/>
      <c r="W430" s="1"/>
      <c r="X430" s="1"/>
      <c r="Y430" s="1"/>
      <c r="Z430" s="1"/>
      <c r="AA430" s="1"/>
    </row>
    <row r="431" spans="1:27" ht="14" x14ac:dyDescent="0.15">
      <c r="A431" s="9">
        <v>430</v>
      </c>
      <c r="B431" s="9" t="s">
        <v>452</v>
      </c>
      <c r="C431" s="9" t="s">
        <v>23</v>
      </c>
      <c r="D431" s="10">
        <v>348.83</v>
      </c>
      <c r="E431" s="10">
        <v>348.83</v>
      </c>
      <c r="F431" s="10">
        <v>0.17</v>
      </c>
      <c r="G431" s="9">
        <f t="shared" si="23"/>
        <v>132.34314000000003</v>
      </c>
      <c r="H431" s="13" t="s">
        <v>381</v>
      </c>
      <c r="I431" s="12"/>
      <c r="K431">
        <f t="shared" si="24"/>
        <v>348.83</v>
      </c>
      <c r="L431" s="1"/>
      <c r="M431" s="1"/>
      <c r="N431" s="1"/>
      <c r="T431" s="1"/>
      <c r="U431" s="1"/>
      <c r="V431" s="1"/>
      <c r="W431" s="1"/>
      <c r="X431" s="1"/>
      <c r="Y431" s="1"/>
      <c r="Z431" s="1"/>
      <c r="AA431" s="1"/>
    </row>
    <row r="432" spans="1:27" s="4" customFormat="1" ht="14" x14ac:dyDescent="0.15">
      <c r="A432" s="9">
        <v>431</v>
      </c>
      <c r="B432" s="9" t="s">
        <v>453</v>
      </c>
      <c r="C432" s="9" t="s">
        <v>28</v>
      </c>
      <c r="D432" s="10">
        <v>349.77</v>
      </c>
      <c r="E432" s="10">
        <v>358.27</v>
      </c>
      <c r="F432" s="10">
        <v>17.68</v>
      </c>
      <c r="G432" s="9">
        <f t="shared" si="23"/>
        <v>132.70141000000004</v>
      </c>
      <c r="H432" s="19" t="s">
        <v>381</v>
      </c>
      <c r="I432" s="20"/>
      <c r="J432" s="7">
        <f>D432+8.5</f>
        <v>358.27</v>
      </c>
      <c r="K432">
        <f t="shared" si="24"/>
        <v>358.27</v>
      </c>
      <c r="L432" s="3"/>
      <c r="M432" s="3"/>
      <c r="N432" s="3"/>
      <c r="O432"/>
      <c r="T432" s="3"/>
      <c r="U432" s="3"/>
      <c r="V432" s="3"/>
      <c r="W432" s="3"/>
      <c r="X432" s="3"/>
      <c r="Y432" s="3"/>
      <c r="Z432" s="3"/>
      <c r="AA432" s="3"/>
    </row>
    <row r="433" spans="1:27" ht="14" x14ac:dyDescent="0.15">
      <c r="A433" s="9">
        <v>432</v>
      </c>
      <c r="B433" s="9" t="s">
        <v>454</v>
      </c>
      <c r="C433" s="9" t="s">
        <v>23</v>
      </c>
      <c r="D433" s="10">
        <v>327.2</v>
      </c>
      <c r="E433" s="10">
        <v>327.2</v>
      </c>
      <c r="F433" s="10">
        <v>0.67</v>
      </c>
      <c r="G433" s="9">
        <f t="shared" si="23"/>
        <v>133.02861000000004</v>
      </c>
      <c r="H433" s="13" t="s">
        <v>381</v>
      </c>
      <c r="I433" s="12"/>
      <c r="K433">
        <f t="shared" si="24"/>
        <v>327.2</v>
      </c>
      <c r="L433" s="1"/>
      <c r="M433" s="1"/>
      <c r="N433" s="1"/>
      <c r="T433" s="1"/>
      <c r="U433" s="1"/>
      <c r="V433" s="1"/>
      <c r="W433" s="1"/>
      <c r="X433" s="1"/>
      <c r="Y433" s="1"/>
      <c r="Z433" s="1"/>
      <c r="AA433" s="1"/>
    </row>
    <row r="434" spans="1:27" ht="42" x14ac:dyDescent="0.15">
      <c r="A434" s="9">
        <v>433</v>
      </c>
      <c r="B434" s="9" t="s">
        <v>455</v>
      </c>
      <c r="C434" s="9" t="s">
        <v>23</v>
      </c>
      <c r="D434" s="10">
        <v>360.43</v>
      </c>
      <c r="E434" s="10">
        <v>360.43</v>
      </c>
      <c r="F434" s="10">
        <v>0.64</v>
      </c>
      <c r="G434" s="9">
        <f t="shared" si="23"/>
        <v>133.38904000000005</v>
      </c>
      <c r="H434" s="13" t="s">
        <v>456</v>
      </c>
      <c r="I434" s="12" t="s">
        <v>457</v>
      </c>
      <c r="K434">
        <f t="shared" si="24"/>
        <v>360.43</v>
      </c>
      <c r="L434" s="1"/>
      <c r="M434" s="1"/>
      <c r="N434" s="1"/>
      <c r="T434" s="1"/>
      <c r="U434" s="1"/>
      <c r="V434" s="1"/>
      <c r="W434" s="1"/>
      <c r="X434" s="1"/>
      <c r="Y434" s="1"/>
      <c r="Z434" s="1"/>
      <c r="AA434" s="1"/>
    </row>
    <row r="435" spans="1:27" ht="14" x14ac:dyDescent="0.15">
      <c r="A435" s="9">
        <v>434</v>
      </c>
      <c r="B435" s="9" t="s">
        <v>458</v>
      </c>
      <c r="C435" s="9" t="s">
        <v>23</v>
      </c>
      <c r="D435" s="10">
        <v>317.61</v>
      </c>
      <c r="E435" s="10">
        <v>317.61</v>
      </c>
      <c r="F435" s="10">
        <v>0.28999999999999998</v>
      </c>
      <c r="G435" s="9">
        <f t="shared" si="23"/>
        <v>133.70665000000005</v>
      </c>
      <c r="H435" s="13" t="s">
        <v>456</v>
      </c>
      <c r="I435" s="12"/>
      <c r="K435">
        <f t="shared" si="24"/>
        <v>317.61</v>
      </c>
      <c r="L435" s="1"/>
      <c r="M435" s="1"/>
      <c r="N435" s="1"/>
      <c r="T435" s="1"/>
      <c r="U435" s="1"/>
      <c r="V435" s="1"/>
      <c r="W435" s="1"/>
      <c r="X435" s="1"/>
      <c r="Y435" s="1"/>
      <c r="Z435" s="1"/>
      <c r="AA435" s="1"/>
    </row>
    <row r="436" spans="1:27" ht="14" x14ac:dyDescent="0.15">
      <c r="A436" s="9">
        <v>435</v>
      </c>
      <c r="B436" s="9" t="s">
        <v>459</v>
      </c>
      <c r="C436" s="9" t="s">
        <v>23</v>
      </c>
      <c r="D436" s="10">
        <v>322.23</v>
      </c>
      <c r="E436" s="10">
        <v>322.23</v>
      </c>
      <c r="F436" s="10">
        <v>0.26</v>
      </c>
      <c r="G436" s="9">
        <f t="shared" si="23"/>
        <v>134.02888000000004</v>
      </c>
      <c r="H436" s="13" t="s">
        <v>456</v>
      </c>
      <c r="I436" s="12"/>
      <c r="K436">
        <f t="shared" si="24"/>
        <v>322.23</v>
      </c>
      <c r="L436" s="1"/>
      <c r="M436" s="1"/>
      <c r="N436" s="1"/>
      <c r="T436" s="1"/>
      <c r="U436" s="1"/>
      <c r="V436" s="1"/>
      <c r="W436" s="1"/>
      <c r="X436" s="1"/>
      <c r="Y436" s="1"/>
      <c r="Z436" s="1"/>
      <c r="AA436" s="1"/>
    </row>
    <row r="437" spans="1:27" ht="14" x14ac:dyDescent="0.15">
      <c r="A437" s="9">
        <v>436</v>
      </c>
      <c r="B437" s="9" t="s">
        <v>460</v>
      </c>
      <c r="C437" s="9" t="s">
        <v>16</v>
      </c>
      <c r="D437" s="10">
        <v>267.82</v>
      </c>
      <c r="E437" s="10">
        <v>267.82</v>
      </c>
      <c r="F437" s="10">
        <v>6</v>
      </c>
      <c r="G437" s="9">
        <f t="shared" si="23"/>
        <v>134.29670000000004</v>
      </c>
      <c r="H437" s="13" t="s">
        <v>456</v>
      </c>
      <c r="I437" s="12"/>
      <c r="K437">
        <f t="shared" si="24"/>
        <v>267.82</v>
      </c>
      <c r="L437" s="1"/>
      <c r="M437" s="1"/>
      <c r="N437" s="1"/>
      <c r="T437" s="1"/>
      <c r="U437" s="1"/>
      <c r="V437" s="1"/>
      <c r="W437" s="1"/>
      <c r="X437" s="1"/>
      <c r="Y437" s="1"/>
      <c r="Z437" s="1"/>
      <c r="AA437" s="1"/>
    </row>
    <row r="438" spans="1:27" ht="14" x14ac:dyDescent="0.15">
      <c r="A438" s="9">
        <v>437</v>
      </c>
      <c r="B438" s="9" t="s">
        <v>461</v>
      </c>
      <c r="C438" s="9" t="s">
        <v>23</v>
      </c>
      <c r="D438" s="10">
        <v>356.55</v>
      </c>
      <c r="E438" s="10">
        <v>356.55</v>
      </c>
      <c r="F438" s="10">
        <v>0.75</v>
      </c>
      <c r="G438" s="9">
        <f t="shared" si="23"/>
        <v>134.65325000000004</v>
      </c>
      <c r="H438" s="13" t="s">
        <v>456</v>
      </c>
      <c r="I438" s="12"/>
      <c r="K438">
        <f t="shared" si="24"/>
        <v>356.55</v>
      </c>
      <c r="L438" s="1"/>
      <c r="M438" s="1"/>
      <c r="N438" s="1"/>
      <c r="T438" s="1"/>
      <c r="U438" s="1"/>
      <c r="V438" s="1"/>
      <c r="W438" s="1"/>
      <c r="X438" s="1"/>
      <c r="Y438" s="1"/>
      <c r="Z438" s="1"/>
      <c r="AA438" s="1"/>
    </row>
    <row r="439" spans="1:27" ht="14" x14ac:dyDescent="0.15">
      <c r="A439" s="9">
        <v>438</v>
      </c>
      <c r="B439" s="9" t="s">
        <v>462</v>
      </c>
      <c r="C439" s="9" t="s">
        <v>23</v>
      </c>
      <c r="D439" s="10">
        <v>297.33999999999997</v>
      </c>
      <c r="E439" s="10">
        <v>297.33999999999997</v>
      </c>
      <c r="F439" s="10">
        <v>0.06</v>
      </c>
      <c r="G439" s="9">
        <f t="shared" si="23"/>
        <v>134.95059000000003</v>
      </c>
      <c r="H439" s="13" t="s">
        <v>456</v>
      </c>
      <c r="I439" s="12"/>
      <c r="K439">
        <f t="shared" si="24"/>
        <v>297.33999999999997</v>
      </c>
      <c r="L439" s="1"/>
      <c r="M439" s="1"/>
      <c r="N439" s="1"/>
      <c r="T439" s="1"/>
      <c r="U439" s="1"/>
      <c r="V439" s="1"/>
      <c r="W439" s="1"/>
      <c r="X439" s="1"/>
      <c r="Y439" s="1"/>
      <c r="Z439" s="1"/>
      <c r="AA439" s="1"/>
    </row>
    <row r="440" spans="1:27" ht="14" x14ac:dyDescent="0.15">
      <c r="A440" s="9">
        <v>439</v>
      </c>
      <c r="B440" s="9" t="s">
        <v>463</v>
      </c>
      <c r="C440" s="9" t="s">
        <v>23</v>
      </c>
      <c r="D440" s="10">
        <v>347.09</v>
      </c>
      <c r="E440" s="10">
        <v>347.09</v>
      </c>
      <c r="F440" s="10">
        <v>0.03</v>
      </c>
      <c r="G440" s="9">
        <f t="shared" si="23"/>
        <v>135.29768000000004</v>
      </c>
      <c r="H440" s="13" t="s">
        <v>456</v>
      </c>
      <c r="I440" s="12"/>
      <c r="K440">
        <f t="shared" si="24"/>
        <v>347.09</v>
      </c>
      <c r="L440" s="1"/>
      <c r="M440" s="1"/>
      <c r="N440" s="1"/>
      <c r="T440" s="1"/>
      <c r="U440" s="1"/>
      <c r="V440" s="1"/>
      <c r="W440" s="1"/>
      <c r="X440" s="1"/>
      <c r="Y440" s="1"/>
      <c r="Z440" s="1"/>
      <c r="AA440" s="1"/>
    </row>
    <row r="441" spans="1:27" ht="14" x14ac:dyDescent="0.15">
      <c r="A441" s="9">
        <v>440</v>
      </c>
      <c r="B441" s="9" t="s">
        <v>464</v>
      </c>
      <c r="C441" s="9" t="s">
        <v>28</v>
      </c>
      <c r="D441" s="10">
        <v>360.72</v>
      </c>
      <c r="E441" s="10">
        <v>369.22</v>
      </c>
      <c r="F441" s="10">
        <v>17.79</v>
      </c>
      <c r="G441" s="9">
        <f t="shared" si="23"/>
        <v>135.66690000000006</v>
      </c>
      <c r="H441" s="13" t="s">
        <v>456</v>
      </c>
      <c r="I441" s="12"/>
      <c r="J441" s="7">
        <f>D441+8.5</f>
        <v>369.22</v>
      </c>
      <c r="K441">
        <f t="shared" si="24"/>
        <v>369.22</v>
      </c>
      <c r="L441" s="1"/>
      <c r="M441" s="1"/>
      <c r="N441" s="1"/>
      <c r="T441" s="1"/>
      <c r="U441" s="1"/>
      <c r="V441" s="1"/>
      <c r="W441" s="1"/>
      <c r="X441" s="1"/>
      <c r="Y441" s="1"/>
      <c r="Z441" s="1"/>
      <c r="AA441" s="1"/>
    </row>
    <row r="442" spans="1:27" ht="14" x14ac:dyDescent="0.15">
      <c r="A442" s="9">
        <v>441</v>
      </c>
      <c r="B442" s="9" t="s">
        <v>465</v>
      </c>
      <c r="C442" s="9" t="s">
        <v>23</v>
      </c>
      <c r="D442" s="10">
        <v>293.18</v>
      </c>
      <c r="E442" s="10">
        <v>293.18</v>
      </c>
      <c r="F442" s="10">
        <v>0.3</v>
      </c>
      <c r="G442" s="9">
        <f t="shared" si="23"/>
        <v>135.96008000000006</v>
      </c>
      <c r="H442" s="13" t="s">
        <v>456</v>
      </c>
      <c r="I442" s="12"/>
      <c r="K442">
        <f t="shared" si="24"/>
        <v>293.18</v>
      </c>
      <c r="L442" s="1"/>
      <c r="M442" s="1"/>
      <c r="N442" s="1"/>
      <c r="T442" s="1"/>
      <c r="U442" s="1"/>
      <c r="V442" s="1"/>
      <c r="W442" s="1"/>
      <c r="X442" s="1"/>
      <c r="Y442" s="1"/>
      <c r="Z442" s="1"/>
      <c r="AA442" s="1"/>
    </row>
    <row r="443" spans="1:27" ht="14" x14ac:dyDescent="0.15">
      <c r="A443" s="9">
        <v>442</v>
      </c>
      <c r="B443" s="9" t="s">
        <v>466</v>
      </c>
      <c r="C443" s="9" t="s">
        <v>16</v>
      </c>
      <c r="D443" s="10">
        <v>253.29</v>
      </c>
      <c r="E443" s="10">
        <v>253.29</v>
      </c>
      <c r="F443" s="10">
        <v>9.68</v>
      </c>
      <c r="G443" s="9">
        <f t="shared" si="23"/>
        <v>136.21337000000005</v>
      </c>
      <c r="H443" s="13" t="s">
        <v>456</v>
      </c>
      <c r="I443" s="12"/>
      <c r="K443">
        <f t="shared" si="24"/>
        <v>253.29</v>
      </c>
      <c r="L443" s="1"/>
      <c r="M443" s="1"/>
      <c r="N443" s="1"/>
      <c r="T443" s="1"/>
      <c r="U443" s="1"/>
      <c r="V443" s="1"/>
      <c r="W443" s="1"/>
      <c r="X443" s="1"/>
      <c r="Y443" s="1"/>
      <c r="Z443" s="1"/>
      <c r="AA443" s="1"/>
    </row>
    <row r="444" spans="1:27" ht="14" x14ac:dyDescent="0.15">
      <c r="A444" s="9">
        <v>443</v>
      </c>
      <c r="B444" s="9" t="s">
        <v>467</v>
      </c>
      <c r="C444" s="9" t="s">
        <v>23</v>
      </c>
      <c r="D444" s="10">
        <v>303.35000000000002</v>
      </c>
      <c r="E444" s="10">
        <v>303.35000000000002</v>
      </c>
      <c r="F444" s="10">
        <v>0.2</v>
      </c>
      <c r="G444" s="9">
        <f t="shared" si="23"/>
        <v>136.51672000000005</v>
      </c>
      <c r="H444" s="13" t="s">
        <v>456</v>
      </c>
      <c r="I444" s="12"/>
      <c r="K444">
        <f t="shared" si="24"/>
        <v>303.35000000000002</v>
      </c>
      <c r="L444" s="1"/>
      <c r="M444" s="1"/>
      <c r="N444" s="1"/>
      <c r="T444" s="1"/>
      <c r="U444" s="1"/>
      <c r="V444" s="1"/>
      <c r="W444" s="1"/>
      <c r="X444" s="1"/>
      <c r="Y444" s="1"/>
      <c r="Z444" s="1"/>
      <c r="AA444" s="1"/>
    </row>
    <row r="445" spans="1:27" ht="14" x14ac:dyDescent="0.15">
      <c r="A445" s="9">
        <v>444</v>
      </c>
      <c r="B445" s="9" t="s">
        <v>468</v>
      </c>
      <c r="C445" s="9" t="s">
        <v>16</v>
      </c>
      <c r="D445" s="10">
        <v>322.87</v>
      </c>
      <c r="E445" s="10">
        <v>322.87</v>
      </c>
      <c r="F445" s="10">
        <v>8.6</v>
      </c>
      <c r="G445" s="9">
        <f t="shared" si="23"/>
        <v>136.83959000000004</v>
      </c>
      <c r="H445" s="13" t="s">
        <v>456</v>
      </c>
      <c r="I445" s="12"/>
      <c r="K445">
        <f t="shared" si="24"/>
        <v>322.87</v>
      </c>
      <c r="L445" s="1"/>
      <c r="M445" s="1"/>
      <c r="N445" s="1"/>
      <c r="T445" s="1"/>
      <c r="U445" s="1"/>
      <c r="V445" s="1"/>
      <c r="W445" s="1"/>
      <c r="X445" s="1"/>
      <c r="Y445" s="1"/>
      <c r="Z445" s="1"/>
      <c r="AA445" s="1"/>
    </row>
    <row r="446" spans="1:27" ht="14" x14ac:dyDescent="0.15">
      <c r="A446" s="9">
        <v>445</v>
      </c>
      <c r="B446" s="9" t="s">
        <v>469</v>
      </c>
      <c r="C446" s="9" t="s">
        <v>28</v>
      </c>
      <c r="D446" s="10">
        <v>291.99</v>
      </c>
      <c r="E446" s="10">
        <v>300.49</v>
      </c>
      <c r="F446" s="10">
        <v>17.510000000000002</v>
      </c>
      <c r="G446" s="9">
        <f t="shared" si="23"/>
        <v>137.14008000000004</v>
      </c>
      <c r="H446" s="13" t="s">
        <v>456</v>
      </c>
      <c r="I446" s="12"/>
      <c r="J446" s="7">
        <f t="shared" ref="J446:J447" si="26">D446+8.5</f>
        <v>300.49</v>
      </c>
      <c r="K446">
        <f t="shared" si="24"/>
        <v>300.49</v>
      </c>
      <c r="L446" s="1"/>
      <c r="M446" s="1"/>
      <c r="N446" s="1"/>
      <c r="T446" s="1"/>
      <c r="U446" s="1"/>
      <c r="V446" s="1"/>
      <c r="W446" s="1"/>
      <c r="X446" s="1"/>
      <c r="Y446" s="1"/>
      <c r="Z446" s="1"/>
      <c r="AA446" s="1"/>
    </row>
    <row r="447" spans="1:27" ht="14" x14ac:dyDescent="0.15">
      <c r="A447" s="9">
        <v>446</v>
      </c>
      <c r="B447" s="9" t="s">
        <v>470</v>
      </c>
      <c r="C447" s="9" t="s">
        <v>28</v>
      </c>
      <c r="D447" s="10">
        <v>350.61</v>
      </c>
      <c r="E447" s="10">
        <v>359.11</v>
      </c>
      <c r="F447" s="10">
        <v>31</v>
      </c>
      <c r="G447" s="9">
        <f t="shared" si="23"/>
        <v>137.49919000000003</v>
      </c>
      <c r="H447" s="13" t="s">
        <v>456</v>
      </c>
      <c r="I447" s="12"/>
      <c r="J447" s="7">
        <f t="shared" si="26"/>
        <v>359.11</v>
      </c>
      <c r="K447">
        <f t="shared" si="24"/>
        <v>359.11</v>
      </c>
      <c r="L447" s="1"/>
      <c r="M447" s="1"/>
      <c r="N447" s="1"/>
      <c r="T447" s="1"/>
      <c r="U447" s="1"/>
      <c r="V447" s="1"/>
      <c r="W447" s="1"/>
      <c r="X447" s="1"/>
      <c r="Y447" s="1"/>
      <c r="Z447" s="1"/>
      <c r="AA447" s="1"/>
    </row>
    <row r="448" spans="1:27" ht="14" x14ac:dyDescent="0.15">
      <c r="A448" s="9">
        <v>447</v>
      </c>
      <c r="B448" s="9" t="s">
        <v>471</v>
      </c>
      <c r="C448" s="9" t="s">
        <v>23</v>
      </c>
      <c r="D448" s="10">
        <v>264.94</v>
      </c>
      <c r="E448" s="10">
        <v>264.94</v>
      </c>
      <c r="F448" s="10">
        <v>0.92</v>
      </c>
      <c r="G448" s="9">
        <f t="shared" si="23"/>
        <v>137.76413000000002</v>
      </c>
      <c r="H448" s="13" t="s">
        <v>456</v>
      </c>
      <c r="I448" s="12"/>
      <c r="K448">
        <f t="shared" si="24"/>
        <v>264.94</v>
      </c>
      <c r="L448" s="1"/>
      <c r="M448" s="1"/>
      <c r="N448" s="1"/>
      <c r="T448" s="1"/>
      <c r="U448" s="1"/>
      <c r="V448" s="1"/>
      <c r="W448" s="1"/>
      <c r="X448" s="1"/>
      <c r="Y448" s="1"/>
      <c r="Z448" s="1"/>
      <c r="AA448" s="1"/>
    </row>
    <row r="449" spans="1:27" ht="14" x14ac:dyDescent="0.15">
      <c r="A449" s="9">
        <v>448</v>
      </c>
      <c r="B449" s="9" t="s">
        <v>472</v>
      </c>
      <c r="C449" s="9" t="s">
        <v>19</v>
      </c>
      <c r="D449" s="10">
        <v>321.69</v>
      </c>
      <c r="E449" s="10">
        <v>330.19</v>
      </c>
      <c r="F449" s="10">
        <v>33.340000000000003</v>
      </c>
      <c r="G449" s="9">
        <f t="shared" si="23"/>
        <v>138.09432000000001</v>
      </c>
      <c r="H449" s="13" t="s">
        <v>456</v>
      </c>
      <c r="I449" s="12"/>
      <c r="J449" s="7">
        <f>D449+8.5</f>
        <v>330.19</v>
      </c>
      <c r="K449">
        <f t="shared" si="24"/>
        <v>330.19</v>
      </c>
      <c r="L449" s="1"/>
      <c r="M449" s="1"/>
      <c r="N449" s="1"/>
      <c r="T449" s="1"/>
      <c r="U449" s="1"/>
      <c r="V449" s="1"/>
      <c r="W449" s="1"/>
      <c r="X449" s="1"/>
      <c r="Y449" s="1"/>
      <c r="Z449" s="1"/>
      <c r="AA449" s="1"/>
    </row>
    <row r="450" spans="1:27" ht="14" x14ac:dyDescent="0.15">
      <c r="A450" s="9">
        <v>449</v>
      </c>
      <c r="B450" s="9" t="s">
        <v>473</v>
      </c>
      <c r="C450" s="9" t="s">
        <v>23</v>
      </c>
      <c r="D450" s="10">
        <v>223.74</v>
      </c>
      <c r="E450" s="10">
        <v>223.74</v>
      </c>
      <c r="F450" s="10">
        <v>1.1599999999999999</v>
      </c>
      <c r="G450" s="9">
        <f t="shared" si="23"/>
        <v>138.31806</v>
      </c>
      <c r="H450" s="13" t="s">
        <v>456</v>
      </c>
      <c r="I450" s="12"/>
      <c r="K450">
        <f t="shared" si="24"/>
        <v>223.74</v>
      </c>
      <c r="L450" s="1"/>
      <c r="M450" s="1"/>
      <c r="N450" s="1"/>
      <c r="T450" s="1"/>
      <c r="U450" s="1"/>
      <c r="V450" s="1"/>
      <c r="W450" s="1"/>
      <c r="X450" s="1"/>
      <c r="Y450" s="1"/>
      <c r="Z450" s="1"/>
      <c r="AA450" s="1"/>
    </row>
    <row r="451" spans="1:27" ht="14" x14ac:dyDescent="0.15">
      <c r="A451" s="9">
        <v>450</v>
      </c>
      <c r="B451" s="9" t="s">
        <v>474</v>
      </c>
      <c r="C451" s="9" t="s">
        <v>28</v>
      </c>
      <c r="D451" s="10">
        <v>306.48</v>
      </c>
      <c r="E451" s="10">
        <v>314.98</v>
      </c>
      <c r="F451" s="10">
        <v>11.31</v>
      </c>
      <c r="G451" s="9">
        <f t="shared" si="23"/>
        <v>138.63303999999999</v>
      </c>
      <c r="H451" s="13" t="s">
        <v>456</v>
      </c>
      <c r="I451" s="12"/>
      <c r="J451" s="7">
        <f>D451+8.5</f>
        <v>314.98</v>
      </c>
      <c r="K451">
        <f t="shared" si="24"/>
        <v>314.98</v>
      </c>
      <c r="L451" s="1"/>
      <c r="M451" s="1"/>
      <c r="N451" s="1"/>
      <c r="T451" s="1"/>
      <c r="U451" s="1"/>
      <c r="V451" s="1"/>
      <c r="W451" s="1"/>
      <c r="X451" s="1"/>
      <c r="Y451" s="1"/>
      <c r="Z451" s="1"/>
      <c r="AA451" s="1"/>
    </row>
    <row r="452" spans="1:27" ht="14" x14ac:dyDescent="0.15">
      <c r="A452" s="9">
        <v>451</v>
      </c>
      <c r="B452" s="9" t="s">
        <v>475</v>
      </c>
      <c r="C452" s="9" t="s">
        <v>16</v>
      </c>
      <c r="D452" s="10">
        <v>237.46</v>
      </c>
      <c r="E452" s="10">
        <v>237.46</v>
      </c>
      <c r="F452" s="10">
        <v>6.03</v>
      </c>
      <c r="G452" s="9">
        <f t="shared" ref="G452:G515" si="27">E452/1000+G451</f>
        <v>138.87049999999999</v>
      </c>
      <c r="H452" s="13" t="s">
        <v>456</v>
      </c>
      <c r="I452" s="12"/>
      <c r="K452">
        <f t="shared" ref="K452:K515" si="28">IF(J452&lt;&gt;"",J452,D452)</f>
        <v>237.46</v>
      </c>
      <c r="L452" s="1"/>
      <c r="M452" s="1"/>
      <c r="N452" s="1"/>
      <c r="T452" s="1"/>
      <c r="U452" s="1"/>
      <c r="V452" s="1"/>
      <c r="W452" s="1"/>
      <c r="X452" s="1"/>
      <c r="Y452" s="1"/>
      <c r="Z452" s="1"/>
      <c r="AA452" s="1"/>
    </row>
    <row r="453" spans="1:27" ht="14" x14ac:dyDescent="0.15">
      <c r="A453" s="9">
        <v>452</v>
      </c>
      <c r="B453" s="9" t="s">
        <v>476</v>
      </c>
      <c r="C453" s="9" t="s">
        <v>19</v>
      </c>
      <c r="D453" s="10">
        <v>131.09</v>
      </c>
      <c r="E453" s="10">
        <v>139.59</v>
      </c>
      <c r="F453" s="10">
        <v>41.2</v>
      </c>
      <c r="G453" s="9">
        <f t="shared" si="27"/>
        <v>139.01008999999999</v>
      </c>
      <c r="H453" s="13" t="s">
        <v>456</v>
      </c>
      <c r="I453" s="12"/>
      <c r="J453" s="7">
        <f t="shared" ref="J453:J454" si="29">D453+8.5</f>
        <v>139.59</v>
      </c>
      <c r="K453">
        <f t="shared" si="28"/>
        <v>139.59</v>
      </c>
      <c r="L453" s="1"/>
      <c r="M453" s="1"/>
      <c r="N453" s="1"/>
      <c r="T453" s="1"/>
      <c r="U453" s="1"/>
      <c r="V453" s="1"/>
      <c r="W453" s="1"/>
      <c r="X453" s="1"/>
      <c r="Y453" s="1"/>
      <c r="Z453" s="1"/>
      <c r="AA453" s="1"/>
    </row>
    <row r="454" spans="1:27" ht="14" x14ac:dyDescent="0.15">
      <c r="A454" s="9">
        <v>453</v>
      </c>
      <c r="B454" s="9" t="s">
        <v>477</v>
      </c>
      <c r="C454" s="9" t="s">
        <v>19</v>
      </c>
      <c r="D454" s="10">
        <v>152.29</v>
      </c>
      <c r="E454" s="10">
        <v>160.79</v>
      </c>
      <c r="F454" s="10">
        <v>40.56</v>
      </c>
      <c r="G454" s="9">
        <f t="shared" si="27"/>
        <v>139.17087999999998</v>
      </c>
      <c r="H454" s="13" t="s">
        <v>456</v>
      </c>
      <c r="I454" s="12"/>
      <c r="J454" s="7">
        <f t="shared" si="29"/>
        <v>160.79</v>
      </c>
      <c r="K454">
        <f t="shared" si="28"/>
        <v>160.79</v>
      </c>
      <c r="L454" s="1"/>
      <c r="M454" s="1"/>
      <c r="N454" s="1"/>
      <c r="T454" s="1"/>
      <c r="U454" s="1"/>
      <c r="V454" s="1"/>
      <c r="W454" s="1"/>
      <c r="X454" s="1"/>
      <c r="Y454" s="1"/>
      <c r="Z454" s="1"/>
      <c r="AA454" s="1"/>
    </row>
    <row r="455" spans="1:27" ht="14" x14ac:dyDescent="0.15">
      <c r="A455" s="9">
        <v>454</v>
      </c>
      <c r="B455" s="9" t="s">
        <v>478</v>
      </c>
      <c r="C455" s="9" t="s">
        <v>16</v>
      </c>
      <c r="D455" s="10">
        <v>227.29</v>
      </c>
      <c r="E455" s="10">
        <v>227.29</v>
      </c>
      <c r="F455" s="10">
        <v>0.8</v>
      </c>
      <c r="G455" s="9">
        <f t="shared" si="27"/>
        <v>139.39816999999999</v>
      </c>
      <c r="H455" s="13" t="s">
        <v>456</v>
      </c>
      <c r="I455" s="12"/>
      <c r="K455">
        <f t="shared" si="28"/>
        <v>227.29</v>
      </c>
      <c r="L455" s="1"/>
      <c r="M455" s="1"/>
      <c r="N455" s="1"/>
      <c r="T455" s="1"/>
      <c r="U455" s="1"/>
      <c r="V455" s="1"/>
      <c r="W455" s="1"/>
      <c r="X455" s="1"/>
      <c r="Y455" s="1"/>
      <c r="Z455" s="1"/>
      <c r="AA455" s="1"/>
    </row>
    <row r="456" spans="1:27" ht="14" x14ac:dyDescent="0.15">
      <c r="A456" s="9">
        <v>455</v>
      </c>
      <c r="B456" s="9" t="s">
        <v>479</v>
      </c>
      <c r="C456" s="9" t="s">
        <v>19</v>
      </c>
      <c r="D456" s="10">
        <v>301.01</v>
      </c>
      <c r="E456" s="10">
        <v>309.51</v>
      </c>
      <c r="F456" s="10">
        <v>31.4</v>
      </c>
      <c r="G456" s="9">
        <f t="shared" si="27"/>
        <v>139.70767999999998</v>
      </c>
      <c r="H456" s="13" t="s">
        <v>456</v>
      </c>
      <c r="I456" s="12"/>
      <c r="J456" s="7">
        <f>D456+8.5</f>
        <v>309.51</v>
      </c>
      <c r="K456">
        <f t="shared" si="28"/>
        <v>309.51</v>
      </c>
      <c r="L456" s="1"/>
      <c r="M456" s="1"/>
      <c r="N456" s="1"/>
      <c r="T456" s="1"/>
      <c r="U456" s="1"/>
      <c r="V456" s="1"/>
      <c r="W456" s="1"/>
      <c r="X456" s="1"/>
      <c r="Y456" s="1"/>
      <c r="Z456" s="1"/>
      <c r="AA456" s="1"/>
    </row>
    <row r="457" spans="1:27" ht="14" x14ac:dyDescent="0.15">
      <c r="A457" s="9">
        <v>456</v>
      </c>
      <c r="B457" s="9" t="s">
        <v>480</v>
      </c>
      <c r="C457" s="9" t="s">
        <v>23</v>
      </c>
      <c r="D457" s="10">
        <v>362.43</v>
      </c>
      <c r="E457" s="10">
        <v>362.43</v>
      </c>
      <c r="F457" s="10">
        <v>0.48</v>
      </c>
      <c r="G457" s="9">
        <f t="shared" si="27"/>
        <v>140.07010999999997</v>
      </c>
      <c r="H457" s="13" t="s">
        <v>456</v>
      </c>
      <c r="I457" s="12"/>
      <c r="K457">
        <f t="shared" si="28"/>
        <v>362.43</v>
      </c>
      <c r="L457" s="1"/>
      <c r="M457" s="1"/>
      <c r="N457" s="1"/>
      <c r="T457" s="1"/>
      <c r="U457" s="1"/>
      <c r="V457" s="1"/>
      <c r="W457" s="1"/>
      <c r="X457" s="1"/>
      <c r="Y457" s="1"/>
      <c r="Z457" s="1"/>
      <c r="AA457" s="1"/>
    </row>
    <row r="458" spans="1:27" ht="14" x14ac:dyDescent="0.15">
      <c r="A458" s="9">
        <v>457</v>
      </c>
      <c r="B458" s="9" t="s">
        <v>481</v>
      </c>
      <c r="C458" s="9" t="s">
        <v>23</v>
      </c>
      <c r="D458" s="10">
        <v>301.48</v>
      </c>
      <c r="E458" s="10">
        <v>301.48</v>
      </c>
      <c r="F458" s="10">
        <v>0.78</v>
      </c>
      <c r="G458" s="9">
        <f t="shared" si="27"/>
        <v>140.37158999999997</v>
      </c>
      <c r="H458" s="13" t="s">
        <v>456</v>
      </c>
      <c r="I458" s="12"/>
      <c r="K458">
        <f t="shared" si="28"/>
        <v>301.48</v>
      </c>
      <c r="L458" s="1"/>
      <c r="M458" s="1"/>
      <c r="N458" s="1"/>
      <c r="T458" s="1"/>
      <c r="U458" s="1"/>
      <c r="V458" s="1"/>
      <c r="W458" s="1"/>
      <c r="X458" s="1"/>
      <c r="Y458" s="1"/>
      <c r="Z458" s="1"/>
      <c r="AA458" s="1"/>
    </row>
    <row r="459" spans="1:27" ht="14" x14ac:dyDescent="0.15">
      <c r="A459" s="9">
        <v>458</v>
      </c>
      <c r="B459" s="9" t="s">
        <v>482</v>
      </c>
      <c r="C459" s="9" t="s">
        <v>23</v>
      </c>
      <c r="D459" s="10">
        <v>355.03</v>
      </c>
      <c r="E459" s="10">
        <v>355.03</v>
      </c>
      <c r="F459" s="10">
        <v>1.42</v>
      </c>
      <c r="G459" s="9">
        <f t="shared" si="27"/>
        <v>140.72661999999997</v>
      </c>
      <c r="H459" s="13" t="s">
        <v>456</v>
      </c>
      <c r="I459" s="12"/>
      <c r="K459">
        <f t="shared" si="28"/>
        <v>355.03</v>
      </c>
      <c r="L459" s="1"/>
      <c r="M459" s="1"/>
      <c r="N459" s="1"/>
      <c r="T459" s="1"/>
      <c r="U459" s="1"/>
      <c r="V459" s="1"/>
      <c r="W459" s="1"/>
      <c r="X459" s="1"/>
      <c r="Y459" s="1"/>
      <c r="Z459" s="1"/>
      <c r="AA459" s="1"/>
    </row>
    <row r="460" spans="1:27" ht="14" x14ac:dyDescent="0.15">
      <c r="A460" s="9">
        <v>459</v>
      </c>
      <c r="B460" s="9" t="s">
        <v>483</v>
      </c>
      <c r="C460" s="9" t="s">
        <v>23</v>
      </c>
      <c r="D460" s="10">
        <v>350.23</v>
      </c>
      <c r="E460" s="10">
        <v>350.23</v>
      </c>
      <c r="F460" s="10">
        <v>0.77</v>
      </c>
      <c r="G460" s="9">
        <f t="shared" si="27"/>
        <v>141.07684999999998</v>
      </c>
      <c r="H460" s="13" t="s">
        <v>456</v>
      </c>
      <c r="I460" s="12"/>
      <c r="K460">
        <f t="shared" si="28"/>
        <v>350.23</v>
      </c>
      <c r="L460" s="1"/>
      <c r="M460" s="1"/>
      <c r="N460" s="1"/>
      <c r="T460" s="1"/>
      <c r="U460" s="1"/>
      <c r="V460" s="1"/>
      <c r="W460" s="1"/>
      <c r="X460" s="1"/>
      <c r="Y460" s="1"/>
      <c r="Z460" s="1"/>
      <c r="AA460" s="1"/>
    </row>
    <row r="461" spans="1:27" ht="14" x14ac:dyDescent="0.15">
      <c r="A461" s="9">
        <v>460</v>
      </c>
      <c r="B461" s="9" t="s">
        <v>484</v>
      </c>
      <c r="C461" s="9" t="s">
        <v>23</v>
      </c>
      <c r="D461" s="10">
        <v>337.02</v>
      </c>
      <c r="E461" s="10">
        <v>337.02</v>
      </c>
      <c r="F461" s="10">
        <v>0.16</v>
      </c>
      <c r="G461" s="9">
        <f t="shared" si="27"/>
        <v>141.41386999999997</v>
      </c>
      <c r="H461" s="13" t="s">
        <v>456</v>
      </c>
      <c r="I461" s="12"/>
      <c r="K461">
        <f t="shared" si="28"/>
        <v>337.02</v>
      </c>
      <c r="L461" s="1"/>
      <c r="M461" s="1"/>
      <c r="N461" s="1"/>
      <c r="T461" s="1"/>
      <c r="U461" s="1"/>
      <c r="V461" s="1"/>
      <c r="W461" s="1"/>
      <c r="X461" s="1"/>
      <c r="Y461" s="1"/>
      <c r="Z461" s="1"/>
      <c r="AA461" s="1"/>
    </row>
    <row r="462" spans="1:27" ht="14" x14ac:dyDescent="0.15">
      <c r="A462" s="9">
        <v>461</v>
      </c>
      <c r="B462" s="9" t="s">
        <v>485</v>
      </c>
      <c r="C462" s="9" t="s">
        <v>16</v>
      </c>
      <c r="D462" s="10">
        <v>203.83</v>
      </c>
      <c r="E462" s="10">
        <v>203.83</v>
      </c>
      <c r="F462" s="10">
        <v>2.29</v>
      </c>
      <c r="G462" s="9">
        <f t="shared" si="27"/>
        <v>141.61769999999999</v>
      </c>
      <c r="H462" s="13" t="s">
        <v>456</v>
      </c>
      <c r="I462" s="12"/>
      <c r="K462">
        <f t="shared" si="28"/>
        <v>203.83</v>
      </c>
      <c r="L462" s="1"/>
      <c r="M462" s="1"/>
      <c r="N462" s="1"/>
      <c r="T462" s="1"/>
      <c r="U462" s="1"/>
      <c r="V462" s="1"/>
      <c r="W462" s="1"/>
      <c r="X462" s="1"/>
      <c r="Y462" s="1"/>
      <c r="Z462" s="1"/>
      <c r="AA462" s="1"/>
    </row>
    <row r="463" spans="1:27" ht="14" x14ac:dyDescent="0.15">
      <c r="A463" s="9">
        <v>462</v>
      </c>
      <c r="B463" s="9" t="s">
        <v>486</v>
      </c>
      <c r="C463" s="9" t="s">
        <v>16</v>
      </c>
      <c r="D463" s="10">
        <v>213.07</v>
      </c>
      <c r="E463" s="10">
        <v>213.07</v>
      </c>
      <c r="F463" s="10">
        <v>0.52</v>
      </c>
      <c r="G463" s="9">
        <f t="shared" si="27"/>
        <v>141.83076999999997</v>
      </c>
      <c r="H463" s="13" t="s">
        <v>456</v>
      </c>
      <c r="I463" s="12"/>
      <c r="K463">
        <f t="shared" si="28"/>
        <v>213.07</v>
      </c>
      <c r="L463" s="1"/>
      <c r="M463" s="1"/>
      <c r="N463" s="1"/>
      <c r="T463" s="1"/>
      <c r="U463" s="1"/>
      <c r="V463" s="1"/>
      <c r="W463" s="1"/>
      <c r="X463" s="1"/>
      <c r="Y463" s="1"/>
      <c r="Z463" s="1"/>
      <c r="AA463" s="1"/>
    </row>
    <row r="464" spans="1:27" ht="14" x14ac:dyDescent="0.15">
      <c r="A464" s="9">
        <v>463</v>
      </c>
      <c r="B464" s="9" t="s">
        <v>487</v>
      </c>
      <c r="C464" s="9" t="s">
        <v>23</v>
      </c>
      <c r="D464" s="10">
        <v>202.71</v>
      </c>
      <c r="E464" s="10">
        <v>202.71</v>
      </c>
      <c r="F464" s="10">
        <v>1.76</v>
      </c>
      <c r="G464" s="9">
        <f t="shared" si="27"/>
        <v>142.03347999999997</v>
      </c>
      <c r="H464" s="13" t="s">
        <v>456</v>
      </c>
      <c r="I464" s="12"/>
      <c r="K464">
        <f t="shared" si="28"/>
        <v>202.71</v>
      </c>
      <c r="L464" s="1"/>
      <c r="M464" s="1"/>
      <c r="N464" s="1"/>
      <c r="T464" s="1"/>
      <c r="U464" s="1"/>
      <c r="V464" s="1"/>
      <c r="W464" s="1"/>
      <c r="X464" s="1"/>
      <c r="Y464" s="1"/>
      <c r="Z464" s="1"/>
      <c r="AA464" s="1"/>
    </row>
    <row r="465" spans="1:27" ht="14" x14ac:dyDescent="0.15">
      <c r="A465" s="9">
        <v>464</v>
      </c>
      <c r="B465" s="9" t="s">
        <v>488</v>
      </c>
      <c r="C465" s="9" t="s">
        <v>23</v>
      </c>
      <c r="D465" s="10">
        <v>266</v>
      </c>
      <c r="E465" s="10">
        <v>266</v>
      </c>
      <c r="F465" s="10">
        <v>1.29</v>
      </c>
      <c r="G465" s="9">
        <f t="shared" si="27"/>
        <v>142.29947999999996</v>
      </c>
      <c r="H465" s="13" t="s">
        <v>456</v>
      </c>
      <c r="I465" s="12"/>
      <c r="K465">
        <f t="shared" si="28"/>
        <v>266</v>
      </c>
      <c r="L465" s="1"/>
      <c r="M465" s="1"/>
      <c r="N465" s="1"/>
      <c r="T465" s="1"/>
      <c r="U465" s="1"/>
      <c r="V465" s="1"/>
      <c r="W465" s="1"/>
      <c r="X465" s="1"/>
      <c r="Y465" s="1"/>
      <c r="Z465" s="1"/>
      <c r="AA465" s="1"/>
    </row>
    <row r="466" spans="1:27" ht="14" x14ac:dyDescent="0.15">
      <c r="A466" s="9">
        <v>465</v>
      </c>
      <c r="B466" s="9" t="s">
        <v>489</v>
      </c>
      <c r="C466" s="9" t="s">
        <v>23</v>
      </c>
      <c r="D466" s="10">
        <v>227.19</v>
      </c>
      <c r="E466" s="10">
        <v>227.19</v>
      </c>
      <c r="F466" s="10">
        <v>0.79</v>
      </c>
      <c r="G466" s="9">
        <f t="shared" si="27"/>
        <v>142.52666999999997</v>
      </c>
      <c r="H466" s="13" t="s">
        <v>456</v>
      </c>
      <c r="I466" s="12"/>
      <c r="K466">
        <f t="shared" si="28"/>
        <v>227.19</v>
      </c>
      <c r="L466" s="1"/>
      <c r="M466" s="1"/>
      <c r="N466" s="1"/>
      <c r="T466" s="1"/>
      <c r="U466" s="1"/>
      <c r="V466" s="1"/>
      <c r="W466" s="1"/>
      <c r="X466" s="1"/>
      <c r="Y466" s="1"/>
      <c r="Z466" s="1"/>
      <c r="AA466" s="1"/>
    </row>
    <row r="467" spans="1:27" ht="14" x14ac:dyDescent="0.15">
      <c r="A467" s="9">
        <v>466</v>
      </c>
      <c r="B467" s="9" t="s">
        <v>490</v>
      </c>
      <c r="C467" s="9" t="s">
        <v>19</v>
      </c>
      <c r="D467" s="10">
        <v>340.08</v>
      </c>
      <c r="E467" s="10">
        <v>348.58</v>
      </c>
      <c r="F467" s="10">
        <v>40.25</v>
      </c>
      <c r="G467" s="9">
        <f t="shared" si="27"/>
        <v>142.87524999999997</v>
      </c>
      <c r="H467" s="13" t="s">
        <v>456</v>
      </c>
      <c r="I467" s="12"/>
      <c r="J467" s="7">
        <f>D467+8.5</f>
        <v>348.58</v>
      </c>
      <c r="K467">
        <f t="shared" si="28"/>
        <v>348.58</v>
      </c>
      <c r="L467" s="1"/>
      <c r="M467" s="1"/>
      <c r="N467" s="1"/>
      <c r="T467" s="1"/>
      <c r="U467" s="1"/>
      <c r="V467" s="1"/>
      <c r="W467" s="1"/>
      <c r="X467" s="1"/>
      <c r="Y467" s="1"/>
      <c r="Z467" s="1"/>
      <c r="AA467" s="1"/>
    </row>
    <row r="468" spans="1:27" ht="14" x14ac:dyDescent="0.15">
      <c r="A468" s="9">
        <v>467</v>
      </c>
      <c r="B468" s="9" t="s">
        <v>491</v>
      </c>
      <c r="C468" s="9" t="s">
        <v>23</v>
      </c>
      <c r="D468" s="10">
        <v>352.73</v>
      </c>
      <c r="E468" s="10">
        <v>352.73</v>
      </c>
      <c r="F468" s="10">
        <v>0.43</v>
      </c>
      <c r="G468" s="9">
        <f t="shared" si="27"/>
        <v>143.22797999999997</v>
      </c>
      <c r="H468" s="13" t="s">
        <v>456</v>
      </c>
      <c r="I468" s="12"/>
      <c r="K468">
        <f t="shared" si="28"/>
        <v>352.73</v>
      </c>
      <c r="L468" s="1"/>
      <c r="M468" s="1"/>
      <c r="N468" s="1"/>
      <c r="T468" s="1"/>
      <c r="U468" s="1"/>
      <c r="V468" s="1"/>
      <c r="W468" s="1"/>
      <c r="X468" s="1"/>
      <c r="Y468" s="1"/>
      <c r="Z468" s="1"/>
      <c r="AA468" s="1"/>
    </row>
    <row r="469" spans="1:27" ht="14" x14ac:dyDescent="0.15">
      <c r="A469" s="9">
        <v>468</v>
      </c>
      <c r="B469" s="9" t="s">
        <v>492</v>
      </c>
      <c r="C469" s="9" t="s">
        <v>23</v>
      </c>
      <c r="D469" s="10">
        <v>344.48</v>
      </c>
      <c r="E469" s="10">
        <v>344.48</v>
      </c>
      <c r="F469" s="10">
        <v>7.0000000000000007E-2</v>
      </c>
      <c r="G469" s="9">
        <f t="shared" si="27"/>
        <v>143.57245999999998</v>
      </c>
      <c r="H469" s="13" t="s">
        <v>456</v>
      </c>
      <c r="I469" s="12"/>
      <c r="K469">
        <f t="shared" si="28"/>
        <v>344.48</v>
      </c>
      <c r="L469" s="1"/>
      <c r="M469" s="1"/>
      <c r="N469" s="1"/>
      <c r="T469" s="1"/>
      <c r="U469" s="1"/>
      <c r="V469" s="1"/>
      <c r="W469" s="1"/>
      <c r="X469" s="1"/>
      <c r="Y469" s="1"/>
      <c r="Z469" s="1"/>
      <c r="AA469" s="1"/>
    </row>
    <row r="470" spans="1:27" ht="14" x14ac:dyDescent="0.15">
      <c r="A470" s="9">
        <v>469</v>
      </c>
      <c r="B470" s="9" t="s">
        <v>493</v>
      </c>
      <c r="C470" s="9" t="s">
        <v>28</v>
      </c>
      <c r="D470" s="10">
        <v>316.37</v>
      </c>
      <c r="E470" s="10">
        <v>324.87</v>
      </c>
      <c r="F470" s="10">
        <v>21.26</v>
      </c>
      <c r="G470" s="9">
        <f t="shared" si="27"/>
        <v>143.89732999999998</v>
      </c>
      <c r="H470" s="13" t="s">
        <v>456</v>
      </c>
      <c r="I470" s="12"/>
      <c r="J470" s="7">
        <f>D470+8.5</f>
        <v>324.87</v>
      </c>
      <c r="K470">
        <f t="shared" si="28"/>
        <v>324.87</v>
      </c>
      <c r="L470" s="1"/>
      <c r="M470" s="1"/>
      <c r="N470" s="1"/>
      <c r="T470" s="1"/>
      <c r="U470" s="1"/>
      <c r="V470" s="1"/>
      <c r="W470" s="1"/>
      <c r="X470" s="1"/>
      <c r="Y470" s="1"/>
      <c r="Z470" s="1"/>
      <c r="AA470" s="1"/>
    </row>
    <row r="471" spans="1:27" ht="14" x14ac:dyDescent="0.15">
      <c r="A471" s="9">
        <v>470</v>
      </c>
      <c r="B471" s="9" t="s">
        <v>494</v>
      </c>
      <c r="C471" s="9" t="s">
        <v>23</v>
      </c>
      <c r="D471" s="10">
        <v>344.25</v>
      </c>
      <c r="E471" s="10">
        <v>344.25</v>
      </c>
      <c r="F471" s="10">
        <v>0.55000000000000004</v>
      </c>
      <c r="G471" s="9">
        <f t="shared" si="27"/>
        <v>144.24157999999997</v>
      </c>
      <c r="H471" s="13" t="s">
        <v>456</v>
      </c>
      <c r="I471" s="12"/>
      <c r="K471">
        <f t="shared" si="28"/>
        <v>344.25</v>
      </c>
      <c r="L471" s="1"/>
      <c r="M471" s="1"/>
      <c r="N471" s="1"/>
      <c r="T471" s="1"/>
      <c r="U471" s="1"/>
      <c r="V471" s="1"/>
      <c r="W471" s="1"/>
      <c r="X471" s="1"/>
      <c r="Y471" s="1"/>
      <c r="Z471" s="1"/>
      <c r="AA471" s="1"/>
    </row>
    <row r="472" spans="1:27" ht="14" x14ac:dyDescent="0.15">
      <c r="A472" s="9">
        <v>471</v>
      </c>
      <c r="B472" s="9" t="s">
        <v>495</v>
      </c>
      <c r="C472" s="9" t="s">
        <v>23</v>
      </c>
      <c r="D472" s="10">
        <v>293.36</v>
      </c>
      <c r="E472" s="10">
        <v>293.36</v>
      </c>
      <c r="F472" s="10">
        <v>0.89</v>
      </c>
      <c r="G472" s="9">
        <f t="shared" si="27"/>
        <v>144.53493999999998</v>
      </c>
      <c r="H472" s="13" t="s">
        <v>456</v>
      </c>
      <c r="I472" s="12"/>
      <c r="K472">
        <f t="shared" si="28"/>
        <v>293.36</v>
      </c>
      <c r="L472" s="1"/>
      <c r="M472" s="1"/>
      <c r="N472" s="1"/>
      <c r="T472" s="1"/>
      <c r="U472" s="1"/>
      <c r="V472" s="1"/>
      <c r="W472" s="1"/>
      <c r="X472" s="1"/>
      <c r="Y472" s="1"/>
      <c r="Z472" s="1"/>
      <c r="AA472" s="1"/>
    </row>
    <row r="473" spans="1:27" ht="14" x14ac:dyDescent="0.15">
      <c r="A473" s="9">
        <v>472</v>
      </c>
      <c r="B473" s="9" t="s">
        <v>496</v>
      </c>
      <c r="C473" s="9" t="s">
        <v>23</v>
      </c>
      <c r="D473" s="10">
        <v>338.52</v>
      </c>
      <c r="E473" s="10">
        <v>338.52</v>
      </c>
      <c r="F473" s="10">
        <v>0.01</v>
      </c>
      <c r="G473" s="9">
        <f t="shared" si="27"/>
        <v>144.87345999999997</v>
      </c>
      <c r="H473" s="13" t="s">
        <v>456</v>
      </c>
      <c r="I473" s="12"/>
      <c r="K473">
        <f t="shared" si="28"/>
        <v>338.52</v>
      </c>
      <c r="L473" s="1"/>
      <c r="M473" s="1"/>
      <c r="N473" s="1"/>
      <c r="T473" s="1"/>
      <c r="U473" s="1"/>
      <c r="V473" s="1"/>
      <c r="W473" s="1"/>
      <c r="X473" s="1"/>
      <c r="Y473" s="1"/>
      <c r="Z473" s="1"/>
      <c r="AA473" s="1"/>
    </row>
    <row r="474" spans="1:27" ht="14" x14ac:dyDescent="0.15">
      <c r="A474" s="9">
        <v>473</v>
      </c>
      <c r="B474" s="9" t="s">
        <v>497</v>
      </c>
      <c r="C474" s="9" t="s">
        <v>23</v>
      </c>
      <c r="D474" s="10">
        <v>334.85</v>
      </c>
      <c r="E474" s="10">
        <v>334.85</v>
      </c>
      <c r="F474" s="10">
        <v>0.79</v>
      </c>
      <c r="G474" s="9">
        <f t="shared" si="27"/>
        <v>145.20830999999995</v>
      </c>
      <c r="H474" s="13" t="s">
        <v>456</v>
      </c>
      <c r="I474" s="12"/>
      <c r="K474">
        <f t="shared" si="28"/>
        <v>334.85</v>
      </c>
      <c r="L474" s="1"/>
      <c r="M474" s="1"/>
      <c r="N474" s="1"/>
      <c r="T474" s="1"/>
      <c r="U474" s="1"/>
      <c r="V474" s="1"/>
      <c r="W474" s="1"/>
      <c r="X474" s="1"/>
      <c r="Y474" s="1"/>
      <c r="Z474" s="1"/>
      <c r="AA474" s="1"/>
    </row>
    <row r="475" spans="1:27" ht="14" x14ac:dyDescent="0.15">
      <c r="A475" s="9">
        <v>474</v>
      </c>
      <c r="B475" s="9" t="s">
        <v>498</v>
      </c>
      <c r="C475" s="9" t="s">
        <v>23</v>
      </c>
      <c r="D475" s="10">
        <v>346.26</v>
      </c>
      <c r="E475" s="10">
        <v>346.26</v>
      </c>
      <c r="F475" s="10">
        <v>0.36</v>
      </c>
      <c r="G475" s="9">
        <f t="shared" si="27"/>
        <v>145.55456999999996</v>
      </c>
      <c r="H475" s="13" t="s">
        <v>456</v>
      </c>
      <c r="I475" s="12"/>
      <c r="K475">
        <f t="shared" si="28"/>
        <v>346.26</v>
      </c>
      <c r="L475" s="1"/>
      <c r="M475" s="1"/>
      <c r="N475" s="1"/>
      <c r="T475" s="1"/>
      <c r="U475" s="1"/>
      <c r="V475" s="1"/>
      <c r="W475" s="1"/>
      <c r="X475" s="1"/>
      <c r="Y475" s="1"/>
      <c r="Z475" s="1"/>
      <c r="AA475" s="1"/>
    </row>
    <row r="476" spans="1:27" ht="14" x14ac:dyDescent="0.15">
      <c r="A476" s="9">
        <v>475</v>
      </c>
      <c r="B476" s="9" t="s">
        <v>499</v>
      </c>
      <c r="C476" s="9" t="s">
        <v>19</v>
      </c>
      <c r="D476" s="10">
        <v>251.35</v>
      </c>
      <c r="E476" s="10">
        <v>259.85000000000002</v>
      </c>
      <c r="F476" s="10">
        <v>38.119999999999997</v>
      </c>
      <c r="G476" s="9">
        <f t="shared" si="27"/>
        <v>145.81441999999996</v>
      </c>
      <c r="H476" s="13" t="s">
        <v>456</v>
      </c>
      <c r="I476" s="12"/>
      <c r="J476" s="7">
        <f>D476+8.5</f>
        <v>259.85000000000002</v>
      </c>
      <c r="K476">
        <f t="shared" si="28"/>
        <v>259.85000000000002</v>
      </c>
      <c r="L476" s="1"/>
      <c r="M476" s="1"/>
      <c r="N476" s="1"/>
      <c r="T476" s="1"/>
      <c r="U476" s="1"/>
      <c r="V476" s="1"/>
      <c r="W476" s="1"/>
      <c r="X476" s="1"/>
      <c r="Y476" s="1"/>
      <c r="Z476" s="1"/>
      <c r="AA476" s="1"/>
    </row>
    <row r="477" spans="1:27" ht="14" x14ac:dyDescent="0.15">
      <c r="A477" s="9">
        <v>476</v>
      </c>
      <c r="B477" s="9" t="s">
        <v>500</v>
      </c>
      <c r="C477" s="9" t="s">
        <v>23</v>
      </c>
      <c r="D477" s="10">
        <v>262.83999999999997</v>
      </c>
      <c r="E477" s="10">
        <v>262.83999999999997</v>
      </c>
      <c r="F477" s="10">
        <v>2.37</v>
      </c>
      <c r="G477" s="9">
        <f t="shared" si="27"/>
        <v>146.07725999999997</v>
      </c>
      <c r="H477" s="13" t="s">
        <v>456</v>
      </c>
      <c r="I477" s="12"/>
      <c r="K477">
        <f t="shared" si="28"/>
        <v>262.83999999999997</v>
      </c>
      <c r="L477" s="1"/>
      <c r="M477" s="1"/>
      <c r="N477" s="1"/>
      <c r="T477" s="1"/>
      <c r="U477" s="1"/>
      <c r="V477" s="1"/>
      <c r="W477" s="1"/>
      <c r="X477" s="1"/>
      <c r="Y477" s="1"/>
      <c r="Z477" s="1"/>
      <c r="AA477" s="1"/>
    </row>
    <row r="478" spans="1:27" ht="14" x14ac:dyDescent="0.15">
      <c r="A478" s="9">
        <v>477</v>
      </c>
      <c r="B478" s="9" t="s">
        <v>501</v>
      </c>
      <c r="C478" s="9" t="s">
        <v>23</v>
      </c>
      <c r="D478" s="10">
        <v>348.03</v>
      </c>
      <c r="E478" s="10">
        <v>348.03</v>
      </c>
      <c r="F478" s="10">
        <v>1.29</v>
      </c>
      <c r="G478" s="9">
        <f t="shared" si="27"/>
        <v>146.42528999999996</v>
      </c>
      <c r="H478" s="13" t="s">
        <v>456</v>
      </c>
      <c r="I478" s="12"/>
      <c r="K478">
        <f t="shared" si="28"/>
        <v>348.03</v>
      </c>
      <c r="L478" s="1"/>
      <c r="M478" s="1"/>
      <c r="N478" s="1"/>
      <c r="T478" s="1"/>
      <c r="U478" s="1"/>
      <c r="V478" s="1"/>
      <c r="W478" s="1"/>
      <c r="X478" s="1"/>
      <c r="Y478" s="1"/>
      <c r="Z478" s="1"/>
      <c r="AA478" s="1"/>
    </row>
    <row r="479" spans="1:27" ht="14" x14ac:dyDescent="0.15">
      <c r="A479" s="9">
        <v>478</v>
      </c>
      <c r="B479" s="9" t="s">
        <v>502</v>
      </c>
      <c r="C479" s="9" t="s">
        <v>23</v>
      </c>
      <c r="D479" s="10">
        <v>270.02999999999997</v>
      </c>
      <c r="E479" s="10">
        <v>270.02999999999997</v>
      </c>
      <c r="F479" s="10">
        <v>0.98</v>
      </c>
      <c r="G479" s="9">
        <f t="shared" si="27"/>
        <v>146.69531999999995</v>
      </c>
      <c r="H479" s="13" t="s">
        <v>456</v>
      </c>
      <c r="I479" s="12"/>
      <c r="K479">
        <f t="shared" si="28"/>
        <v>270.02999999999997</v>
      </c>
      <c r="L479" s="1"/>
      <c r="M479" s="1"/>
      <c r="N479" s="1"/>
      <c r="T479" s="1"/>
      <c r="U479" s="1"/>
      <c r="V479" s="1"/>
      <c r="W479" s="1"/>
      <c r="X479" s="1"/>
      <c r="Y479" s="1"/>
      <c r="Z479" s="1"/>
      <c r="AA479" s="1"/>
    </row>
    <row r="480" spans="1:27" ht="14" x14ac:dyDescent="0.15">
      <c r="A480" s="9">
        <v>479</v>
      </c>
      <c r="B480" s="9" t="s">
        <v>503</v>
      </c>
      <c r="C480" s="9" t="s">
        <v>23</v>
      </c>
      <c r="D480" s="10">
        <v>346.8</v>
      </c>
      <c r="E480" s="10">
        <v>346.8</v>
      </c>
      <c r="F480" s="10">
        <v>0.63</v>
      </c>
      <c r="G480" s="9">
        <f t="shared" si="27"/>
        <v>147.04211999999995</v>
      </c>
      <c r="H480" s="13" t="s">
        <v>456</v>
      </c>
      <c r="I480" s="12"/>
      <c r="K480">
        <f t="shared" si="28"/>
        <v>346.8</v>
      </c>
      <c r="L480" s="1"/>
      <c r="M480" s="1"/>
      <c r="N480" s="1"/>
      <c r="T480" s="1"/>
      <c r="U480" s="1"/>
      <c r="V480" s="1"/>
      <c r="W480" s="1"/>
      <c r="X480" s="1"/>
      <c r="Y480" s="1"/>
      <c r="Z480" s="1"/>
      <c r="AA480" s="1"/>
    </row>
    <row r="481" spans="1:27" ht="14" x14ac:dyDescent="0.15">
      <c r="A481" s="9">
        <v>480</v>
      </c>
      <c r="B481" s="9" t="s">
        <v>504</v>
      </c>
      <c r="C481" s="9" t="s">
        <v>23</v>
      </c>
      <c r="D481" s="10">
        <v>348.04</v>
      </c>
      <c r="E481" s="10">
        <v>348.04</v>
      </c>
      <c r="F481" s="10">
        <v>0.35</v>
      </c>
      <c r="G481" s="9">
        <f t="shared" si="27"/>
        <v>147.39015999999995</v>
      </c>
      <c r="H481" s="13" t="s">
        <v>456</v>
      </c>
      <c r="I481" s="12"/>
      <c r="K481">
        <f t="shared" si="28"/>
        <v>348.04</v>
      </c>
      <c r="L481" s="1"/>
      <c r="M481" s="1"/>
      <c r="N481" s="1"/>
      <c r="T481" s="1"/>
      <c r="U481" s="1"/>
      <c r="V481" s="1"/>
      <c r="W481" s="1"/>
      <c r="X481" s="1"/>
      <c r="Y481" s="1"/>
      <c r="Z481" s="1"/>
      <c r="AA481" s="1"/>
    </row>
    <row r="482" spans="1:27" ht="14" x14ac:dyDescent="0.15">
      <c r="A482" s="9">
        <v>481</v>
      </c>
      <c r="B482" s="9" t="s">
        <v>505</v>
      </c>
      <c r="C482" s="9" t="s">
        <v>28</v>
      </c>
      <c r="D482" s="10">
        <v>349.56</v>
      </c>
      <c r="E482" s="10">
        <v>358.06</v>
      </c>
      <c r="F482" s="10">
        <v>18.04</v>
      </c>
      <c r="G482" s="9">
        <f t="shared" si="27"/>
        <v>147.74821999999995</v>
      </c>
      <c r="H482" s="13" t="s">
        <v>456</v>
      </c>
      <c r="I482" s="12"/>
      <c r="J482" s="7">
        <f>D482+8.5</f>
        <v>358.06</v>
      </c>
      <c r="K482">
        <f t="shared" si="28"/>
        <v>358.06</v>
      </c>
      <c r="L482" s="1"/>
      <c r="M482" s="1"/>
      <c r="N482" s="1"/>
      <c r="T482" s="1"/>
      <c r="U482" s="1"/>
      <c r="V482" s="1"/>
      <c r="W482" s="1"/>
      <c r="X482" s="1"/>
      <c r="Y482" s="1"/>
      <c r="Z482" s="1"/>
      <c r="AA482" s="1"/>
    </row>
    <row r="483" spans="1:27" ht="14" x14ac:dyDescent="0.15">
      <c r="A483" s="9">
        <v>482</v>
      </c>
      <c r="B483" s="9" t="s">
        <v>506</v>
      </c>
      <c r="C483" s="9" t="s">
        <v>23</v>
      </c>
      <c r="D483" s="10">
        <v>264.02</v>
      </c>
      <c r="E483" s="10">
        <v>264.02</v>
      </c>
      <c r="F483" s="10">
        <v>0.28000000000000003</v>
      </c>
      <c r="G483" s="9">
        <f t="shared" si="27"/>
        <v>148.01223999999993</v>
      </c>
      <c r="H483" s="13" t="s">
        <v>456</v>
      </c>
      <c r="I483" s="12"/>
      <c r="K483">
        <f t="shared" si="28"/>
        <v>264.02</v>
      </c>
      <c r="L483" s="1"/>
      <c r="M483" s="1"/>
      <c r="N483" s="1"/>
      <c r="T483" s="1"/>
      <c r="U483" s="1"/>
      <c r="V483" s="1"/>
      <c r="W483" s="1"/>
      <c r="X483" s="1"/>
      <c r="Y483" s="1"/>
      <c r="Z483" s="1"/>
      <c r="AA483" s="1"/>
    </row>
    <row r="484" spans="1:27" ht="14" x14ac:dyDescent="0.15">
      <c r="A484" s="9">
        <v>483</v>
      </c>
      <c r="B484" s="9" t="s">
        <v>507</v>
      </c>
      <c r="C484" s="9" t="s">
        <v>23</v>
      </c>
      <c r="D484" s="10">
        <v>346.56</v>
      </c>
      <c r="E484" s="10">
        <v>346.56</v>
      </c>
      <c r="F484" s="10">
        <v>0.66</v>
      </c>
      <c r="G484" s="9">
        <f t="shared" si="27"/>
        <v>148.35879999999995</v>
      </c>
      <c r="H484" s="13" t="s">
        <v>456</v>
      </c>
      <c r="I484" s="12"/>
      <c r="K484">
        <f t="shared" si="28"/>
        <v>346.56</v>
      </c>
      <c r="L484" s="1"/>
      <c r="M484" s="1"/>
      <c r="N484" s="1"/>
      <c r="T484" s="1"/>
      <c r="U484" s="1"/>
      <c r="V484" s="1"/>
      <c r="W484" s="1"/>
      <c r="X484" s="1"/>
      <c r="Y484" s="1"/>
      <c r="Z484" s="1"/>
      <c r="AA484" s="1"/>
    </row>
    <row r="485" spans="1:27" ht="14" x14ac:dyDescent="0.15">
      <c r="A485" s="9">
        <v>484</v>
      </c>
      <c r="B485" s="9" t="s">
        <v>508</v>
      </c>
      <c r="C485" s="9" t="s">
        <v>23</v>
      </c>
      <c r="D485" s="10">
        <v>351.22</v>
      </c>
      <c r="E485" s="10">
        <v>351.22</v>
      </c>
      <c r="F485" s="10">
        <v>0.64</v>
      </c>
      <c r="G485" s="9">
        <f t="shared" si="27"/>
        <v>148.71001999999996</v>
      </c>
      <c r="H485" s="13" t="s">
        <v>456</v>
      </c>
      <c r="I485" s="12"/>
      <c r="K485">
        <f t="shared" si="28"/>
        <v>351.22</v>
      </c>
      <c r="L485" s="1"/>
      <c r="M485" s="1"/>
      <c r="N485" s="1"/>
      <c r="T485" s="1"/>
      <c r="U485" s="1"/>
      <c r="V485" s="1"/>
      <c r="W485" s="1"/>
      <c r="X485" s="1"/>
      <c r="Y485" s="1"/>
      <c r="Z485" s="1"/>
      <c r="AA485" s="1"/>
    </row>
    <row r="486" spans="1:27" ht="14" x14ac:dyDescent="0.15">
      <c r="A486" s="9">
        <v>485</v>
      </c>
      <c r="B486" s="9" t="s">
        <v>509</v>
      </c>
      <c r="C486" s="9" t="s">
        <v>23</v>
      </c>
      <c r="D486" s="10">
        <v>369.26</v>
      </c>
      <c r="E486" s="10">
        <v>369.26</v>
      </c>
      <c r="F486" s="10">
        <v>0.3</v>
      </c>
      <c r="G486" s="9">
        <f t="shared" si="27"/>
        <v>149.07927999999995</v>
      </c>
      <c r="H486" s="13" t="s">
        <v>456</v>
      </c>
      <c r="I486" s="12"/>
      <c r="K486">
        <f t="shared" si="28"/>
        <v>369.26</v>
      </c>
      <c r="L486" s="1"/>
      <c r="M486" s="1"/>
      <c r="N486" s="1"/>
      <c r="T486" s="1"/>
      <c r="U486" s="1"/>
      <c r="V486" s="1"/>
      <c r="W486" s="1"/>
      <c r="X486" s="1"/>
      <c r="Y486" s="1"/>
      <c r="Z486" s="1"/>
      <c r="AA486" s="1"/>
    </row>
    <row r="487" spans="1:27" ht="14" x14ac:dyDescent="0.15">
      <c r="A487" s="9">
        <v>486</v>
      </c>
      <c r="B487" s="9" t="s">
        <v>510</v>
      </c>
      <c r="C487" s="9" t="s">
        <v>19</v>
      </c>
      <c r="D487" s="10">
        <v>275.85000000000002</v>
      </c>
      <c r="E487" s="10">
        <v>284.35000000000002</v>
      </c>
      <c r="F487" s="10">
        <v>54.34</v>
      </c>
      <c r="G487" s="9">
        <f t="shared" si="27"/>
        <v>149.36362999999994</v>
      </c>
      <c r="H487" s="13" t="s">
        <v>456</v>
      </c>
      <c r="I487" s="12"/>
      <c r="J487" s="7">
        <f>D487+8.5</f>
        <v>284.35000000000002</v>
      </c>
      <c r="K487">
        <f t="shared" si="28"/>
        <v>284.35000000000002</v>
      </c>
      <c r="L487" s="1"/>
      <c r="M487" s="1"/>
      <c r="N487" s="1"/>
      <c r="T487" s="1"/>
      <c r="U487" s="1"/>
      <c r="V487" s="1"/>
      <c r="W487" s="1"/>
      <c r="X487" s="1"/>
      <c r="Y487" s="1"/>
      <c r="Z487" s="1"/>
      <c r="AA487" s="1"/>
    </row>
    <row r="488" spans="1:27" ht="14" x14ac:dyDescent="0.15">
      <c r="A488" s="9">
        <v>487</v>
      </c>
      <c r="B488" s="9" t="s">
        <v>511</v>
      </c>
      <c r="C488" s="9" t="s">
        <v>16</v>
      </c>
      <c r="D488" s="10">
        <v>307.32</v>
      </c>
      <c r="E488" s="10">
        <v>307.32</v>
      </c>
      <c r="F488" s="10">
        <v>0.41</v>
      </c>
      <c r="G488" s="9">
        <f t="shared" si="27"/>
        <v>149.67094999999995</v>
      </c>
      <c r="H488" s="13" t="s">
        <v>456</v>
      </c>
      <c r="I488" s="12"/>
      <c r="K488">
        <f t="shared" si="28"/>
        <v>307.32</v>
      </c>
      <c r="L488" s="1"/>
      <c r="M488" s="1"/>
      <c r="N488" s="1"/>
      <c r="T488" s="1"/>
      <c r="U488" s="1"/>
      <c r="V488" s="1"/>
      <c r="W488" s="1"/>
      <c r="X488" s="1"/>
      <c r="Y488" s="1"/>
      <c r="Z488" s="1"/>
      <c r="AA488" s="1"/>
    </row>
    <row r="489" spans="1:27" ht="14" x14ac:dyDescent="0.15">
      <c r="A489" s="9">
        <v>488</v>
      </c>
      <c r="B489" s="9" t="s">
        <v>512</v>
      </c>
      <c r="C489" s="9" t="s">
        <v>16</v>
      </c>
      <c r="D489" s="10">
        <v>319.2</v>
      </c>
      <c r="E489" s="10">
        <v>319.2</v>
      </c>
      <c r="F489" s="10">
        <v>1.2</v>
      </c>
      <c r="G489" s="9">
        <f t="shared" si="27"/>
        <v>149.99014999999994</v>
      </c>
      <c r="H489" s="13" t="s">
        <v>456</v>
      </c>
      <c r="I489" s="12"/>
      <c r="K489">
        <f t="shared" si="28"/>
        <v>319.2</v>
      </c>
      <c r="L489" s="1"/>
      <c r="M489" s="1"/>
      <c r="N489" s="1"/>
      <c r="T489" s="1"/>
      <c r="U489" s="1"/>
      <c r="V489" s="1"/>
      <c r="W489" s="1"/>
      <c r="X489" s="1"/>
      <c r="Y489" s="1"/>
      <c r="Z489" s="1"/>
      <c r="AA489" s="1"/>
    </row>
    <row r="490" spans="1:27" ht="14" x14ac:dyDescent="0.15">
      <c r="A490" s="9">
        <v>489</v>
      </c>
      <c r="B490" s="9" t="s">
        <v>513</v>
      </c>
      <c r="C490" s="9" t="s">
        <v>19</v>
      </c>
      <c r="D490" s="10">
        <v>280.42</v>
      </c>
      <c r="E490" s="10">
        <v>288.92</v>
      </c>
      <c r="F490" s="10">
        <v>0.62</v>
      </c>
      <c r="G490" s="9">
        <f t="shared" si="27"/>
        <v>150.27906999999993</v>
      </c>
      <c r="H490" s="13" t="s">
        <v>456</v>
      </c>
      <c r="I490" s="12"/>
      <c r="J490" s="7">
        <f>D490+8.5</f>
        <v>288.92</v>
      </c>
      <c r="K490">
        <f t="shared" si="28"/>
        <v>288.92</v>
      </c>
      <c r="L490" s="1"/>
      <c r="M490" s="1"/>
      <c r="N490" s="1"/>
      <c r="T490" s="1"/>
      <c r="U490" s="1"/>
      <c r="V490" s="1"/>
      <c r="W490" s="1"/>
      <c r="X490" s="1"/>
      <c r="Y490" s="1"/>
      <c r="Z490" s="1"/>
      <c r="AA490" s="1"/>
    </row>
    <row r="491" spans="1:27" ht="14" x14ac:dyDescent="0.15">
      <c r="A491" s="9">
        <v>490</v>
      </c>
      <c r="B491" s="9" t="s">
        <v>514</v>
      </c>
      <c r="C491" s="9" t="s">
        <v>23</v>
      </c>
      <c r="D491" s="10">
        <v>350.9</v>
      </c>
      <c r="E491" s="10">
        <v>350.9</v>
      </c>
      <c r="F491" s="10">
        <v>0.21</v>
      </c>
      <c r="G491" s="9">
        <f t="shared" si="27"/>
        <v>150.62996999999993</v>
      </c>
      <c r="H491" s="13" t="s">
        <v>456</v>
      </c>
      <c r="I491" s="12"/>
      <c r="K491">
        <f t="shared" si="28"/>
        <v>350.9</v>
      </c>
      <c r="L491" s="1"/>
      <c r="M491" s="1"/>
      <c r="N491" s="1"/>
      <c r="T491" s="1"/>
      <c r="U491" s="1"/>
      <c r="V491" s="1"/>
      <c r="W491" s="1"/>
      <c r="X491" s="1"/>
      <c r="Y491" s="1"/>
      <c r="Z491" s="1"/>
      <c r="AA491" s="1"/>
    </row>
    <row r="492" spans="1:27" ht="14" x14ac:dyDescent="0.15">
      <c r="A492" s="9">
        <v>491</v>
      </c>
      <c r="B492" s="9" t="s">
        <v>515</v>
      </c>
      <c r="C492" s="9" t="s">
        <v>23</v>
      </c>
      <c r="D492" s="10">
        <v>328.6</v>
      </c>
      <c r="E492" s="10">
        <v>328.6</v>
      </c>
      <c r="F492" s="10">
        <v>0.67</v>
      </c>
      <c r="G492" s="9">
        <f t="shared" si="27"/>
        <v>150.95856999999992</v>
      </c>
      <c r="H492" s="13" t="s">
        <v>456</v>
      </c>
      <c r="I492" s="12"/>
      <c r="K492">
        <f t="shared" si="28"/>
        <v>328.6</v>
      </c>
      <c r="L492" s="1"/>
      <c r="M492" s="1"/>
      <c r="N492" s="1"/>
      <c r="T492" s="1"/>
      <c r="U492" s="1"/>
      <c r="V492" s="1"/>
      <c r="W492" s="1"/>
      <c r="X492" s="1"/>
      <c r="Y492" s="1"/>
      <c r="Z492" s="1"/>
      <c r="AA492" s="1"/>
    </row>
    <row r="493" spans="1:27" ht="14" x14ac:dyDescent="0.15">
      <c r="A493" s="9">
        <v>492</v>
      </c>
      <c r="B493" s="9" t="s">
        <v>516</v>
      </c>
      <c r="C493" s="9" t="s">
        <v>23</v>
      </c>
      <c r="D493" s="10">
        <v>346.35</v>
      </c>
      <c r="E493" s="10">
        <v>346.35</v>
      </c>
      <c r="F493" s="10">
        <v>0.28999999999999998</v>
      </c>
      <c r="G493" s="9">
        <f t="shared" si="27"/>
        <v>151.30491999999992</v>
      </c>
      <c r="H493" s="13" t="s">
        <v>456</v>
      </c>
      <c r="I493" s="12"/>
      <c r="K493">
        <f t="shared" si="28"/>
        <v>346.35</v>
      </c>
      <c r="L493" s="1"/>
      <c r="M493" s="1"/>
      <c r="N493" s="1"/>
      <c r="T493" s="1"/>
      <c r="U493" s="1"/>
      <c r="V493" s="1"/>
      <c r="W493" s="1"/>
      <c r="X493" s="1"/>
      <c r="Y493" s="1"/>
      <c r="Z493" s="1"/>
      <c r="AA493" s="1"/>
    </row>
    <row r="494" spans="1:27" ht="14" x14ac:dyDescent="0.15">
      <c r="A494" s="9">
        <v>493</v>
      </c>
      <c r="B494" s="9" t="s">
        <v>517</v>
      </c>
      <c r="C494" s="9" t="s">
        <v>19</v>
      </c>
      <c r="D494" s="10">
        <v>390.18</v>
      </c>
      <c r="E494" s="10">
        <v>398.68</v>
      </c>
      <c r="F494" s="10">
        <v>45.74</v>
      </c>
      <c r="G494" s="9">
        <f t="shared" si="27"/>
        <v>151.70359999999994</v>
      </c>
      <c r="H494" s="13" t="s">
        <v>456</v>
      </c>
      <c r="I494" s="12"/>
      <c r="J494" s="7">
        <f>D494+8.5</f>
        <v>398.68</v>
      </c>
      <c r="K494">
        <f t="shared" si="28"/>
        <v>398.68</v>
      </c>
      <c r="L494" s="1"/>
      <c r="M494" s="1"/>
      <c r="N494" s="1"/>
      <c r="T494" s="1"/>
      <c r="U494" s="1"/>
      <c r="V494" s="1"/>
      <c r="W494" s="1"/>
      <c r="X494" s="1"/>
      <c r="Y494" s="1"/>
      <c r="Z494" s="1"/>
      <c r="AA494" s="1"/>
    </row>
    <row r="495" spans="1:27" ht="14" x14ac:dyDescent="0.15">
      <c r="A495" s="9">
        <v>494</v>
      </c>
      <c r="B495" s="9" t="s">
        <v>518</v>
      </c>
      <c r="C495" s="9" t="s">
        <v>23</v>
      </c>
      <c r="D495" s="10">
        <v>312.77999999999997</v>
      </c>
      <c r="E495" s="10">
        <v>312.77999999999997</v>
      </c>
      <c r="F495" s="10">
        <v>0.69</v>
      </c>
      <c r="G495" s="9">
        <f t="shared" si="27"/>
        <v>152.01637999999994</v>
      </c>
      <c r="H495" s="13" t="s">
        <v>456</v>
      </c>
      <c r="I495" s="12"/>
      <c r="K495">
        <f t="shared" si="28"/>
        <v>312.77999999999997</v>
      </c>
      <c r="L495" s="1"/>
      <c r="M495" s="1"/>
      <c r="N495" s="1"/>
      <c r="T495" s="1"/>
      <c r="U495" s="1"/>
      <c r="V495" s="1"/>
      <c r="W495" s="1"/>
      <c r="X495" s="1"/>
      <c r="Y495" s="1"/>
      <c r="Z495" s="1"/>
      <c r="AA495" s="1"/>
    </row>
    <row r="496" spans="1:27" ht="14" x14ac:dyDescent="0.15">
      <c r="A496" s="9">
        <v>495</v>
      </c>
      <c r="B496" s="9" t="s">
        <v>519</v>
      </c>
      <c r="C496" s="9" t="s">
        <v>23</v>
      </c>
      <c r="D496" s="10">
        <v>297.52999999999997</v>
      </c>
      <c r="E496" s="10">
        <v>297.52999999999997</v>
      </c>
      <c r="F496" s="10">
        <v>0.26</v>
      </c>
      <c r="G496" s="9">
        <f t="shared" si="27"/>
        <v>152.31390999999994</v>
      </c>
      <c r="H496" s="13" t="s">
        <v>456</v>
      </c>
      <c r="I496" s="12"/>
      <c r="K496">
        <f t="shared" si="28"/>
        <v>297.52999999999997</v>
      </c>
      <c r="L496" s="1"/>
      <c r="M496" s="1"/>
      <c r="N496" s="1"/>
      <c r="T496" s="1"/>
      <c r="U496" s="1"/>
      <c r="V496" s="1"/>
      <c r="W496" s="1"/>
      <c r="X496" s="1"/>
      <c r="Y496" s="1"/>
      <c r="Z496" s="1"/>
      <c r="AA496" s="1"/>
    </row>
    <row r="497" spans="1:27" ht="14" x14ac:dyDescent="0.15">
      <c r="A497" s="9">
        <v>496</v>
      </c>
      <c r="B497" s="9" t="s">
        <v>520</v>
      </c>
      <c r="C497" s="9" t="s">
        <v>23</v>
      </c>
      <c r="D497" s="10">
        <v>341.62</v>
      </c>
      <c r="E497" s="10">
        <v>341.62</v>
      </c>
      <c r="F497" s="10">
        <v>0.26</v>
      </c>
      <c r="G497" s="9">
        <f t="shared" si="27"/>
        <v>152.65552999999994</v>
      </c>
      <c r="H497" s="13" t="s">
        <v>456</v>
      </c>
      <c r="I497" s="12"/>
      <c r="K497">
        <f t="shared" si="28"/>
        <v>341.62</v>
      </c>
      <c r="L497" s="1"/>
      <c r="M497" s="1"/>
      <c r="N497" s="1"/>
      <c r="T497" s="1"/>
      <c r="U497" s="1"/>
      <c r="V497" s="1"/>
      <c r="W497" s="1"/>
      <c r="X497" s="1"/>
      <c r="Y497" s="1"/>
      <c r="Z497" s="1"/>
      <c r="AA497" s="1"/>
    </row>
    <row r="498" spans="1:27" ht="14" x14ac:dyDescent="0.15">
      <c r="A498" s="9">
        <v>497</v>
      </c>
      <c r="B498" s="9" t="s">
        <v>521</v>
      </c>
      <c r="C498" s="9" t="s">
        <v>23</v>
      </c>
      <c r="D498" s="10">
        <v>331.02</v>
      </c>
      <c r="E498" s="10">
        <v>331.02</v>
      </c>
      <c r="F498" s="10">
        <v>0.28000000000000003</v>
      </c>
      <c r="G498" s="9">
        <f t="shared" si="27"/>
        <v>152.98654999999994</v>
      </c>
      <c r="H498" s="13" t="s">
        <v>456</v>
      </c>
      <c r="I498" s="12"/>
      <c r="K498">
        <f t="shared" si="28"/>
        <v>331.02</v>
      </c>
      <c r="L498" s="1"/>
      <c r="M498" s="1"/>
      <c r="N498" s="1"/>
      <c r="T498" s="1"/>
      <c r="U498" s="1"/>
      <c r="V498" s="1"/>
      <c r="W498" s="1"/>
      <c r="X498" s="1"/>
      <c r="Y498" s="1"/>
      <c r="Z498" s="1"/>
      <c r="AA498" s="1"/>
    </row>
    <row r="499" spans="1:27" ht="14" x14ac:dyDescent="0.15">
      <c r="A499" s="9">
        <v>498</v>
      </c>
      <c r="B499" s="9" t="s">
        <v>522</v>
      </c>
      <c r="C499" s="9" t="s">
        <v>23</v>
      </c>
      <c r="D499" s="10">
        <v>312.86</v>
      </c>
      <c r="E499" s="10">
        <v>312.86</v>
      </c>
      <c r="F499" s="10">
        <v>0.35</v>
      </c>
      <c r="G499" s="9">
        <f t="shared" si="27"/>
        <v>153.29940999999994</v>
      </c>
      <c r="H499" s="13" t="s">
        <v>456</v>
      </c>
      <c r="I499" s="12"/>
      <c r="K499">
        <f t="shared" si="28"/>
        <v>312.86</v>
      </c>
      <c r="L499" s="1"/>
      <c r="M499" s="1"/>
      <c r="N499" s="1"/>
      <c r="T499" s="1"/>
      <c r="U499" s="1"/>
      <c r="V499" s="1"/>
      <c r="W499" s="1"/>
      <c r="X499" s="1"/>
      <c r="Y499" s="1"/>
      <c r="Z499" s="1"/>
      <c r="AA499" s="1"/>
    </row>
    <row r="500" spans="1:27" ht="14" x14ac:dyDescent="0.15">
      <c r="A500" s="9">
        <v>499</v>
      </c>
      <c r="B500" s="9" t="s">
        <v>523</v>
      </c>
      <c r="C500" s="9" t="s">
        <v>23</v>
      </c>
      <c r="D500" s="10">
        <v>348.41</v>
      </c>
      <c r="E500" s="10">
        <v>348.41</v>
      </c>
      <c r="F500" s="10">
        <v>0.7</v>
      </c>
      <c r="G500" s="9">
        <f t="shared" si="27"/>
        <v>153.64781999999994</v>
      </c>
      <c r="H500" s="13" t="s">
        <v>456</v>
      </c>
      <c r="I500" s="12"/>
      <c r="K500">
        <f t="shared" si="28"/>
        <v>348.41</v>
      </c>
      <c r="L500" s="1"/>
      <c r="M500" s="1"/>
      <c r="N500" s="1"/>
      <c r="T500" s="1"/>
      <c r="U500" s="1"/>
      <c r="V500" s="1"/>
      <c r="W500" s="1"/>
      <c r="X500" s="1"/>
      <c r="Y500" s="1"/>
      <c r="Z500" s="1"/>
      <c r="AA500" s="1"/>
    </row>
    <row r="501" spans="1:27" ht="14" x14ac:dyDescent="0.15">
      <c r="A501" s="9">
        <v>500</v>
      </c>
      <c r="B501" s="9" t="s">
        <v>524</v>
      </c>
      <c r="C501" s="9" t="s">
        <v>23</v>
      </c>
      <c r="D501" s="10">
        <v>282.52</v>
      </c>
      <c r="E501" s="10">
        <v>282.52</v>
      </c>
      <c r="F501" s="10">
        <v>1.8</v>
      </c>
      <c r="G501" s="9">
        <f t="shared" si="27"/>
        <v>153.93033999999994</v>
      </c>
      <c r="H501" s="13" t="s">
        <v>456</v>
      </c>
      <c r="I501" s="12"/>
      <c r="K501">
        <f t="shared" si="28"/>
        <v>282.52</v>
      </c>
      <c r="L501" s="1"/>
      <c r="M501" s="1"/>
      <c r="N501" s="1"/>
      <c r="T501" s="1"/>
      <c r="U501" s="1"/>
      <c r="V501" s="1"/>
      <c r="W501" s="1"/>
      <c r="X501" s="1"/>
      <c r="Y501" s="1"/>
      <c r="Z501" s="1"/>
      <c r="AA501" s="1"/>
    </row>
    <row r="502" spans="1:27" ht="14" x14ac:dyDescent="0.15">
      <c r="A502" s="9">
        <v>501</v>
      </c>
      <c r="B502" s="9" t="s">
        <v>525</v>
      </c>
      <c r="C502" s="9" t="s">
        <v>23</v>
      </c>
      <c r="D502" s="10">
        <v>325.20999999999998</v>
      </c>
      <c r="E502" s="10">
        <v>325.20999999999998</v>
      </c>
      <c r="F502" s="10">
        <v>1.97</v>
      </c>
      <c r="G502" s="9">
        <f t="shared" si="27"/>
        <v>154.25554999999994</v>
      </c>
      <c r="H502" s="13" t="s">
        <v>456</v>
      </c>
      <c r="I502" s="12"/>
      <c r="K502">
        <f t="shared" si="28"/>
        <v>325.20999999999998</v>
      </c>
      <c r="L502" s="1"/>
      <c r="M502" s="1"/>
      <c r="N502" s="1"/>
      <c r="T502" s="1"/>
      <c r="U502" s="1"/>
      <c r="V502" s="1"/>
      <c r="W502" s="1"/>
      <c r="X502" s="1"/>
      <c r="Y502" s="1"/>
      <c r="Z502" s="1"/>
      <c r="AA502" s="1"/>
    </row>
    <row r="503" spans="1:27" ht="14" x14ac:dyDescent="0.15">
      <c r="A503" s="9">
        <v>502</v>
      </c>
      <c r="B503" s="9" t="s">
        <v>526</v>
      </c>
      <c r="C503" s="9" t="s">
        <v>23</v>
      </c>
      <c r="D503" s="10">
        <v>334</v>
      </c>
      <c r="E503" s="10">
        <v>334</v>
      </c>
      <c r="F503" s="10">
        <v>0.1</v>
      </c>
      <c r="G503" s="9">
        <f t="shared" si="27"/>
        <v>154.58954999999995</v>
      </c>
      <c r="H503" s="13" t="s">
        <v>456</v>
      </c>
      <c r="I503" s="12"/>
      <c r="K503">
        <f t="shared" si="28"/>
        <v>334</v>
      </c>
      <c r="L503" s="1"/>
      <c r="M503" s="1"/>
      <c r="N503" s="1"/>
      <c r="T503" s="1"/>
      <c r="U503" s="1"/>
      <c r="V503" s="1"/>
      <c r="W503" s="1"/>
      <c r="X503" s="1"/>
      <c r="Y503" s="1"/>
      <c r="Z503" s="1"/>
      <c r="AA503" s="1"/>
    </row>
    <row r="504" spans="1:27" ht="14" x14ac:dyDescent="0.15">
      <c r="A504" s="9">
        <v>503</v>
      </c>
      <c r="B504" s="9" t="s">
        <v>527</v>
      </c>
      <c r="C504" s="9" t="s">
        <v>19</v>
      </c>
      <c r="D504" s="10">
        <v>294.98</v>
      </c>
      <c r="E504" s="10">
        <v>303.48</v>
      </c>
      <c r="F504" s="10">
        <v>29.31</v>
      </c>
      <c r="G504" s="9">
        <f t="shared" si="27"/>
        <v>154.89302999999995</v>
      </c>
      <c r="H504" s="13" t="s">
        <v>456</v>
      </c>
      <c r="I504" s="12"/>
      <c r="J504" s="7">
        <f t="shared" ref="J504:J506" si="30">D504+8.5</f>
        <v>303.48</v>
      </c>
      <c r="K504">
        <f t="shared" si="28"/>
        <v>303.48</v>
      </c>
      <c r="L504" s="1"/>
      <c r="M504" s="1"/>
      <c r="N504" s="1"/>
      <c r="T504" s="1"/>
      <c r="U504" s="1"/>
      <c r="V504" s="1"/>
      <c r="W504" s="1"/>
      <c r="X504" s="1"/>
      <c r="Y504" s="1"/>
      <c r="Z504" s="1"/>
      <c r="AA504" s="1"/>
    </row>
    <row r="505" spans="1:27" ht="14" x14ac:dyDescent="0.15">
      <c r="A505" s="9">
        <v>504</v>
      </c>
      <c r="B505" s="9" t="s">
        <v>528</v>
      </c>
      <c r="C505" s="9" t="s">
        <v>19</v>
      </c>
      <c r="D505" s="10">
        <v>184.62</v>
      </c>
      <c r="E505" s="10">
        <v>193.12</v>
      </c>
      <c r="F505" s="10">
        <v>34.65</v>
      </c>
      <c r="G505" s="9">
        <f t="shared" si="27"/>
        <v>155.08614999999995</v>
      </c>
      <c r="H505" s="13" t="s">
        <v>456</v>
      </c>
      <c r="I505" s="12"/>
      <c r="J505" s="7">
        <f t="shared" si="30"/>
        <v>193.12</v>
      </c>
      <c r="K505">
        <f t="shared" si="28"/>
        <v>193.12</v>
      </c>
      <c r="L505" s="1"/>
      <c r="M505" s="1"/>
      <c r="N505" s="1"/>
      <c r="T505" s="1"/>
      <c r="U505" s="1"/>
      <c r="V505" s="1"/>
      <c r="W505" s="1"/>
      <c r="X505" s="1"/>
      <c r="Y505" s="1"/>
      <c r="Z505" s="1"/>
      <c r="AA505" s="1"/>
    </row>
    <row r="506" spans="1:27" ht="14" x14ac:dyDescent="0.15">
      <c r="A506" s="9">
        <v>505</v>
      </c>
      <c r="B506" s="9" t="s">
        <v>529</v>
      </c>
      <c r="C506" s="9" t="s">
        <v>19</v>
      </c>
      <c r="D506" s="10">
        <v>273.81</v>
      </c>
      <c r="E506" s="10">
        <v>282.31</v>
      </c>
      <c r="F506" s="10">
        <v>14.2</v>
      </c>
      <c r="G506" s="9">
        <f t="shared" si="27"/>
        <v>155.36845999999994</v>
      </c>
      <c r="H506" s="13" t="s">
        <v>456</v>
      </c>
      <c r="I506" s="12"/>
      <c r="J506" s="7">
        <f t="shared" si="30"/>
        <v>282.31</v>
      </c>
      <c r="K506">
        <f t="shared" si="28"/>
        <v>282.31</v>
      </c>
      <c r="L506" s="1"/>
      <c r="M506" s="1"/>
      <c r="N506" s="1"/>
      <c r="T506" s="1"/>
      <c r="U506" s="1"/>
      <c r="V506" s="1"/>
      <c r="W506" s="1"/>
      <c r="X506" s="1"/>
      <c r="Y506" s="1"/>
      <c r="Z506" s="1"/>
      <c r="AA506" s="1"/>
    </row>
    <row r="507" spans="1:27" ht="14" x14ac:dyDescent="0.15">
      <c r="A507" s="9">
        <v>506</v>
      </c>
      <c r="B507" s="9" t="s">
        <v>530</v>
      </c>
      <c r="C507" s="9" t="s">
        <v>16</v>
      </c>
      <c r="D507" s="10">
        <v>309.42</v>
      </c>
      <c r="E507" s="10">
        <v>309.42</v>
      </c>
      <c r="F507" s="10">
        <v>2.09</v>
      </c>
      <c r="G507" s="9">
        <f t="shared" si="27"/>
        <v>155.67787999999993</v>
      </c>
      <c r="H507" s="13" t="s">
        <v>456</v>
      </c>
      <c r="I507" s="12"/>
      <c r="K507">
        <f t="shared" si="28"/>
        <v>309.42</v>
      </c>
      <c r="L507" s="1"/>
      <c r="M507" s="1"/>
      <c r="N507" s="1"/>
      <c r="T507" s="1"/>
      <c r="U507" s="1"/>
      <c r="V507" s="1"/>
      <c r="W507" s="1"/>
      <c r="X507" s="1"/>
      <c r="Y507" s="1"/>
      <c r="Z507" s="1"/>
      <c r="AA507" s="1"/>
    </row>
    <row r="508" spans="1:27" ht="14" x14ac:dyDescent="0.15">
      <c r="A508" s="9">
        <v>507</v>
      </c>
      <c r="B508" s="9" t="s">
        <v>531</v>
      </c>
      <c r="C508" s="9" t="s">
        <v>19</v>
      </c>
      <c r="D508" s="10">
        <v>359.88</v>
      </c>
      <c r="E508" s="10">
        <v>368.38</v>
      </c>
      <c r="F508" s="10">
        <v>42.96</v>
      </c>
      <c r="G508" s="9">
        <f t="shared" si="27"/>
        <v>156.04625999999993</v>
      </c>
      <c r="H508" s="13" t="s">
        <v>456</v>
      </c>
      <c r="I508" s="12"/>
      <c r="J508" s="7">
        <f>D508+8.5</f>
        <v>368.38</v>
      </c>
      <c r="K508">
        <f t="shared" si="28"/>
        <v>368.38</v>
      </c>
      <c r="L508" s="1"/>
      <c r="M508" s="1"/>
      <c r="N508" s="1"/>
      <c r="T508" s="1"/>
      <c r="U508" s="1"/>
      <c r="V508" s="1"/>
      <c r="W508" s="1"/>
      <c r="X508" s="1"/>
      <c r="Y508" s="1"/>
      <c r="Z508" s="1"/>
      <c r="AA508" s="1"/>
    </row>
    <row r="509" spans="1:27" ht="14" x14ac:dyDescent="0.15">
      <c r="A509" s="9">
        <v>508</v>
      </c>
      <c r="B509" s="9" t="s">
        <v>532</v>
      </c>
      <c r="C509" s="9" t="s">
        <v>23</v>
      </c>
      <c r="D509" s="10">
        <v>333.45</v>
      </c>
      <c r="E509" s="10">
        <v>333.45</v>
      </c>
      <c r="F509" s="10">
        <v>0.55000000000000004</v>
      </c>
      <c r="G509" s="9">
        <f t="shared" si="27"/>
        <v>156.37970999999993</v>
      </c>
      <c r="H509" s="13" t="s">
        <v>456</v>
      </c>
      <c r="I509" s="12"/>
      <c r="K509">
        <f t="shared" si="28"/>
        <v>333.45</v>
      </c>
      <c r="L509" s="1"/>
      <c r="M509" s="1"/>
      <c r="N509" s="1"/>
      <c r="T509" s="1"/>
      <c r="U509" s="1"/>
      <c r="V509" s="1"/>
      <c r="W509" s="1"/>
      <c r="X509" s="1"/>
      <c r="Y509" s="1"/>
      <c r="Z509" s="1"/>
      <c r="AA509" s="1"/>
    </row>
    <row r="510" spans="1:27" ht="14" x14ac:dyDescent="0.15">
      <c r="A510" s="9">
        <v>509</v>
      </c>
      <c r="B510" s="9" t="s">
        <v>533</v>
      </c>
      <c r="C510" s="9" t="s">
        <v>23</v>
      </c>
      <c r="D510" s="10">
        <v>335.79</v>
      </c>
      <c r="E510" s="10">
        <v>335.79</v>
      </c>
      <c r="F510" s="10">
        <v>0.39</v>
      </c>
      <c r="G510" s="9">
        <f t="shared" si="27"/>
        <v>156.71549999999993</v>
      </c>
      <c r="H510" s="13" t="s">
        <v>456</v>
      </c>
      <c r="I510" s="12"/>
      <c r="K510">
        <f t="shared" si="28"/>
        <v>335.79</v>
      </c>
      <c r="L510" s="1"/>
      <c r="M510" s="1"/>
      <c r="N510" s="1"/>
      <c r="T510" s="1"/>
      <c r="U510" s="1"/>
      <c r="V510" s="1"/>
      <c r="W510" s="1"/>
      <c r="X510" s="1"/>
      <c r="Y510" s="1"/>
      <c r="Z510" s="1"/>
      <c r="AA510" s="1"/>
    </row>
    <row r="511" spans="1:27" ht="14" x14ac:dyDescent="0.15">
      <c r="A511" s="9">
        <v>510</v>
      </c>
      <c r="B511" s="9" t="s">
        <v>534</v>
      </c>
      <c r="C511" s="9" t="s">
        <v>23</v>
      </c>
      <c r="D511" s="10">
        <v>318.64999999999998</v>
      </c>
      <c r="E511" s="10">
        <v>318.64999999999998</v>
      </c>
      <c r="F511" s="10">
        <v>1.1599999999999999</v>
      </c>
      <c r="G511" s="9">
        <f t="shared" si="27"/>
        <v>157.03414999999993</v>
      </c>
      <c r="H511" s="13" t="s">
        <v>456</v>
      </c>
      <c r="I511" s="12"/>
      <c r="K511">
        <f t="shared" si="28"/>
        <v>318.64999999999998</v>
      </c>
      <c r="L511" s="1"/>
      <c r="M511" s="1"/>
      <c r="N511" s="1"/>
      <c r="T511" s="1"/>
      <c r="U511" s="1"/>
      <c r="V511" s="1"/>
      <c r="W511" s="1"/>
      <c r="X511" s="1"/>
      <c r="Y511" s="1"/>
      <c r="Z511" s="1"/>
      <c r="AA511" s="1"/>
    </row>
    <row r="512" spans="1:27" ht="14" x14ac:dyDescent="0.15">
      <c r="A512" s="9">
        <v>511</v>
      </c>
      <c r="B512" s="9" t="s">
        <v>535</v>
      </c>
      <c r="C512" s="9" t="s">
        <v>19</v>
      </c>
      <c r="D512" s="10">
        <v>258.58</v>
      </c>
      <c r="E512" s="10">
        <v>267.08</v>
      </c>
      <c r="F512" s="10">
        <v>51.76</v>
      </c>
      <c r="G512" s="9">
        <f t="shared" si="27"/>
        <v>157.30122999999992</v>
      </c>
      <c r="H512" s="13" t="s">
        <v>456</v>
      </c>
      <c r="I512" s="12"/>
      <c r="J512" s="7">
        <f>D512+8.5</f>
        <v>267.08</v>
      </c>
      <c r="K512">
        <f t="shared" si="28"/>
        <v>267.08</v>
      </c>
      <c r="L512" s="1"/>
      <c r="M512" s="1"/>
      <c r="N512" s="1"/>
      <c r="T512" s="1"/>
      <c r="U512" s="1"/>
      <c r="V512" s="1"/>
      <c r="W512" s="1"/>
      <c r="X512" s="1"/>
      <c r="Y512" s="1"/>
      <c r="Z512" s="1"/>
      <c r="AA512" s="1"/>
    </row>
    <row r="513" spans="1:27" ht="14" x14ac:dyDescent="0.15">
      <c r="A513" s="9">
        <v>512</v>
      </c>
      <c r="B513" s="9" t="s">
        <v>536</v>
      </c>
      <c r="C513" s="9" t="s">
        <v>23</v>
      </c>
      <c r="D513" s="10">
        <v>339.48</v>
      </c>
      <c r="E513" s="10">
        <v>339.48</v>
      </c>
      <c r="F513" s="10">
        <v>1.98</v>
      </c>
      <c r="G513" s="9">
        <f t="shared" si="27"/>
        <v>157.64070999999993</v>
      </c>
      <c r="H513" s="13" t="s">
        <v>456</v>
      </c>
      <c r="I513" s="12"/>
      <c r="K513">
        <f t="shared" si="28"/>
        <v>339.48</v>
      </c>
      <c r="L513" s="1"/>
      <c r="M513" s="1"/>
      <c r="N513" s="1"/>
      <c r="T513" s="1"/>
      <c r="U513" s="1"/>
      <c r="V513" s="1"/>
      <c r="W513" s="1"/>
      <c r="X513" s="1"/>
      <c r="Y513" s="1"/>
      <c r="Z513" s="1"/>
      <c r="AA513" s="1"/>
    </row>
    <row r="514" spans="1:27" ht="14" x14ac:dyDescent="0.15">
      <c r="A514" s="9">
        <v>513</v>
      </c>
      <c r="B514" s="9" t="s">
        <v>537</v>
      </c>
      <c r="C514" s="9" t="s">
        <v>23</v>
      </c>
      <c r="D514" s="10">
        <v>318.74</v>
      </c>
      <c r="E514" s="10">
        <v>318.74</v>
      </c>
      <c r="F514" s="10">
        <v>1.49</v>
      </c>
      <c r="G514" s="9">
        <f t="shared" si="27"/>
        <v>157.95944999999992</v>
      </c>
      <c r="H514" s="13" t="s">
        <v>456</v>
      </c>
      <c r="I514" s="12"/>
      <c r="K514">
        <f t="shared" si="28"/>
        <v>318.74</v>
      </c>
      <c r="L514" s="1"/>
      <c r="M514" s="1"/>
      <c r="N514" s="1"/>
      <c r="T514" s="1"/>
      <c r="U514" s="1"/>
      <c r="V514" s="1"/>
      <c r="W514" s="1"/>
      <c r="X514" s="1"/>
      <c r="Y514" s="1"/>
      <c r="Z514" s="1"/>
      <c r="AA514" s="1"/>
    </row>
    <row r="515" spans="1:27" ht="14" x14ac:dyDescent="0.15">
      <c r="A515" s="9">
        <v>514</v>
      </c>
      <c r="B515" s="9" t="s">
        <v>538</v>
      </c>
      <c r="C515" s="9" t="s">
        <v>28</v>
      </c>
      <c r="D515" s="10">
        <v>358.59</v>
      </c>
      <c r="E515" s="10">
        <v>367.09</v>
      </c>
      <c r="F515" s="10">
        <v>20.02</v>
      </c>
      <c r="G515" s="9">
        <f t="shared" si="27"/>
        <v>158.32653999999991</v>
      </c>
      <c r="H515" s="13" t="s">
        <v>456</v>
      </c>
      <c r="I515" s="12"/>
      <c r="J515" s="7">
        <f>D515+8.5</f>
        <v>367.09</v>
      </c>
      <c r="K515">
        <f t="shared" si="28"/>
        <v>367.09</v>
      </c>
      <c r="L515" s="1"/>
      <c r="M515" s="1"/>
      <c r="N515" s="1"/>
      <c r="T515" s="1"/>
      <c r="U515" s="1"/>
      <c r="V515" s="1"/>
      <c r="W515" s="1"/>
      <c r="X515" s="1"/>
      <c r="Y515" s="1"/>
      <c r="Z515" s="1"/>
      <c r="AA515" s="1"/>
    </row>
    <row r="516" spans="1:27" ht="14" x14ac:dyDescent="0.15">
      <c r="A516" s="9">
        <v>515</v>
      </c>
      <c r="B516" s="9" t="s">
        <v>539</v>
      </c>
      <c r="C516" s="9" t="s">
        <v>23</v>
      </c>
      <c r="D516" s="10">
        <v>347.21</v>
      </c>
      <c r="E516" s="10">
        <v>347.21</v>
      </c>
      <c r="F516" s="10">
        <v>0.17</v>
      </c>
      <c r="G516" s="9">
        <f t="shared" ref="G516:G579" si="31">E516/1000+G515</f>
        <v>158.6737499999999</v>
      </c>
      <c r="H516" s="13" t="s">
        <v>456</v>
      </c>
      <c r="I516" s="12"/>
      <c r="K516">
        <f t="shared" ref="K516:K579" si="32">IF(J516&lt;&gt;"",J516,D516)</f>
        <v>347.21</v>
      </c>
      <c r="L516" s="1"/>
      <c r="M516" s="1"/>
      <c r="N516" s="1"/>
      <c r="T516" s="1"/>
      <c r="U516" s="1"/>
      <c r="V516" s="1"/>
      <c r="W516" s="1"/>
      <c r="X516" s="1"/>
      <c r="Y516" s="1"/>
      <c r="Z516" s="1"/>
      <c r="AA516" s="1"/>
    </row>
    <row r="517" spans="1:27" ht="14" x14ac:dyDescent="0.15">
      <c r="A517" s="9">
        <v>516</v>
      </c>
      <c r="B517" s="9" t="s">
        <v>540</v>
      </c>
      <c r="C517" s="9" t="s">
        <v>23</v>
      </c>
      <c r="D517" s="10">
        <v>356.93</v>
      </c>
      <c r="E517" s="10">
        <v>356.93</v>
      </c>
      <c r="F517" s="10">
        <v>0.74</v>
      </c>
      <c r="G517" s="9">
        <f t="shared" si="31"/>
        <v>159.0306799999999</v>
      </c>
      <c r="H517" s="13" t="s">
        <v>456</v>
      </c>
      <c r="I517" s="12"/>
      <c r="K517">
        <f t="shared" si="32"/>
        <v>356.93</v>
      </c>
      <c r="L517" s="1"/>
      <c r="M517" s="1"/>
      <c r="N517" s="1"/>
      <c r="T517" s="1"/>
      <c r="U517" s="1"/>
      <c r="V517" s="1"/>
      <c r="W517" s="1"/>
      <c r="X517" s="1"/>
      <c r="Y517" s="1"/>
      <c r="Z517" s="1"/>
      <c r="AA517" s="1"/>
    </row>
    <row r="518" spans="1:27" ht="14" x14ac:dyDescent="0.15">
      <c r="A518" s="9">
        <v>517</v>
      </c>
      <c r="B518" s="9" t="s">
        <v>541</v>
      </c>
      <c r="C518" s="9" t="s">
        <v>23</v>
      </c>
      <c r="D518" s="10">
        <v>359.16</v>
      </c>
      <c r="E518" s="10">
        <v>359.16</v>
      </c>
      <c r="F518" s="10">
        <v>1.29</v>
      </c>
      <c r="G518" s="9">
        <f t="shared" si="31"/>
        <v>159.38983999999991</v>
      </c>
      <c r="H518" s="13" t="s">
        <v>456</v>
      </c>
      <c r="I518" s="12"/>
      <c r="K518">
        <f t="shared" si="32"/>
        <v>359.16</v>
      </c>
      <c r="L518" s="1"/>
      <c r="M518" s="1"/>
      <c r="N518" s="1"/>
      <c r="T518" s="1"/>
      <c r="U518" s="1"/>
      <c r="V518" s="1"/>
      <c r="W518" s="1"/>
      <c r="X518" s="1"/>
      <c r="Y518" s="1"/>
      <c r="Z518" s="1"/>
      <c r="AA518" s="1"/>
    </row>
    <row r="519" spans="1:27" ht="14" x14ac:dyDescent="0.15">
      <c r="A519" s="9">
        <v>518</v>
      </c>
      <c r="B519" s="9" t="s">
        <v>542</v>
      </c>
      <c r="C519" s="9" t="s">
        <v>23</v>
      </c>
      <c r="D519" s="10">
        <v>362.12</v>
      </c>
      <c r="E519" s="10">
        <v>362.12</v>
      </c>
      <c r="F519" s="10">
        <v>1.37</v>
      </c>
      <c r="G519" s="9">
        <f t="shared" si="31"/>
        <v>159.75195999999991</v>
      </c>
      <c r="H519" s="13" t="s">
        <v>456</v>
      </c>
      <c r="I519" s="12"/>
      <c r="K519">
        <f t="shared" si="32"/>
        <v>362.12</v>
      </c>
      <c r="L519" s="1"/>
      <c r="M519" s="1"/>
      <c r="N519" s="1"/>
      <c r="T519" s="1"/>
      <c r="U519" s="1"/>
      <c r="V519" s="1"/>
      <c r="W519" s="1"/>
      <c r="X519" s="1"/>
      <c r="Y519" s="1"/>
      <c r="Z519" s="1"/>
      <c r="AA519" s="1"/>
    </row>
    <row r="520" spans="1:27" ht="14" x14ac:dyDescent="0.15">
      <c r="A520" s="9">
        <v>519</v>
      </c>
      <c r="B520" s="9" t="s">
        <v>543</v>
      </c>
      <c r="C520" s="9" t="s">
        <v>23</v>
      </c>
      <c r="D520" s="10">
        <v>304.77999999999997</v>
      </c>
      <c r="E520" s="10">
        <v>304.77999999999997</v>
      </c>
      <c r="F520" s="10">
        <v>1.68</v>
      </c>
      <c r="G520" s="9">
        <f t="shared" si="31"/>
        <v>160.05673999999991</v>
      </c>
      <c r="H520" s="13" t="s">
        <v>456</v>
      </c>
      <c r="I520" s="12"/>
      <c r="K520">
        <f t="shared" si="32"/>
        <v>304.77999999999997</v>
      </c>
      <c r="L520" s="1"/>
      <c r="M520" s="1"/>
      <c r="N520" s="1"/>
      <c r="T520" s="1"/>
      <c r="U520" s="1"/>
      <c r="V520" s="1"/>
      <c r="W520" s="1"/>
      <c r="X520" s="1"/>
      <c r="Y520" s="1"/>
      <c r="Z520" s="1"/>
      <c r="AA520" s="1"/>
    </row>
    <row r="521" spans="1:27" ht="14" x14ac:dyDescent="0.15">
      <c r="A521" s="9">
        <v>520</v>
      </c>
      <c r="B521" s="9" t="s">
        <v>544</v>
      </c>
      <c r="C521" s="9" t="s">
        <v>19</v>
      </c>
      <c r="D521" s="10">
        <v>343.28</v>
      </c>
      <c r="E521" s="10">
        <v>351.78</v>
      </c>
      <c r="F521" s="10">
        <v>57.55</v>
      </c>
      <c r="G521" s="9">
        <f t="shared" si="31"/>
        <v>160.4085199999999</v>
      </c>
      <c r="H521" s="13" t="s">
        <v>456</v>
      </c>
      <c r="I521" s="12"/>
      <c r="J521" s="7">
        <f>D521+8.5</f>
        <v>351.78</v>
      </c>
      <c r="K521">
        <f t="shared" si="32"/>
        <v>351.78</v>
      </c>
      <c r="L521" s="1"/>
      <c r="M521" s="1"/>
      <c r="N521" s="1"/>
      <c r="T521" s="1"/>
      <c r="U521" s="1"/>
      <c r="V521" s="1"/>
      <c r="W521" s="1"/>
      <c r="X521" s="1"/>
      <c r="Y521" s="1"/>
      <c r="Z521" s="1"/>
      <c r="AA521" s="1"/>
    </row>
    <row r="522" spans="1:27" ht="14" x14ac:dyDescent="0.15">
      <c r="A522" s="9">
        <v>521</v>
      </c>
      <c r="B522" s="9" t="s">
        <v>545</v>
      </c>
      <c r="C522" s="9" t="s">
        <v>16</v>
      </c>
      <c r="D522" s="10">
        <v>328.27</v>
      </c>
      <c r="E522" s="10">
        <v>328.27</v>
      </c>
      <c r="F522" s="10">
        <v>11.33</v>
      </c>
      <c r="G522" s="9">
        <f t="shared" si="31"/>
        <v>160.7367899999999</v>
      </c>
      <c r="H522" s="13" t="s">
        <v>456</v>
      </c>
      <c r="I522" s="12"/>
      <c r="K522">
        <f t="shared" si="32"/>
        <v>328.27</v>
      </c>
      <c r="L522" s="1"/>
      <c r="M522" s="1"/>
      <c r="N522" s="1"/>
      <c r="T522" s="1"/>
      <c r="U522" s="1"/>
      <c r="V522" s="1"/>
      <c r="W522" s="1"/>
      <c r="X522" s="1"/>
      <c r="Y522" s="1"/>
      <c r="Z522" s="1"/>
      <c r="AA522" s="1"/>
    </row>
    <row r="523" spans="1:27" ht="14" x14ac:dyDescent="0.15">
      <c r="A523" s="9">
        <v>522</v>
      </c>
      <c r="B523" s="9" t="s">
        <v>546</v>
      </c>
      <c r="C523" s="9" t="s">
        <v>23</v>
      </c>
      <c r="D523" s="10">
        <v>290.52</v>
      </c>
      <c r="E523" s="10">
        <v>290.52</v>
      </c>
      <c r="F523" s="10">
        <v>0.75</v>
      </c>
      <c r="G523" s="9">
        <f t="shared" si="31"/>
        <v>161.02730999999989</v>
      </c>
      <c r="H523" s="13" t="s">
        <v>456</v>
      </c>
      <c r="I523" s="12"/>
      <c r="K523">
        <f t="shared" si="32"/>
        <v>290.52</v>
      </c>
      <c r="L523" s="1"/>
      <c r="M523" s="1"/>
      <c r="N523" s="1"/>
      <c r="T523" s="1"/>
      <c r="U523" s="1"/>
      <c r="V523" s="1"/>
      <c r="W523" s="1"/>
      <c r="X523" s="1"/>
      <c r="Y523" s="1"/>
      <c r="Z523" s="1"/>
      <c r="AA523" s="1"/>
    </row>
    <row r="524" spans="1:27" ht="14" x14ac:dyDescent="0.15">
      <c r="A524" s="9">
        <v>523</v>
      </c>
      <c r="B524" s="9" t="s">
        <v>547</v>
      </c>
      <c r="C524" s="9" t="s">
        <v>23</v>
      </c>
      <c r="D524" s="10">
        <v>284.26</v>
      </c>
      <c r="E524" s="10">
        <v>284.26</v>
      </c>
      <c r="F524" s="10">
        <v>0.51</v>
      </c>
      <c r="G524" s="9">
        <f t="shared" si="31"/>
        <v>161.31156999999988</v>
      </c>
      <c r="H524" s="13" t="s">
        <v>456</v>
      </c>
      <c r="I524" s="12"/>
      <c r="K524">
        <f t="shared" si="32"/>
        <v>284.26</v>
      </c>
      <c r="L524" s="1"/>
      <c r="M524" s="1"/>
      <c r="N524" s="1"/>
      <c r="T524" s="1"/>
      <c r="U524" s="1"/>
      <c r="V524" s="1"/>
      <c r="W524" s="1"/>
      <c r="X524" s="1"/>
      <c r="Y524" s="1"/>
      <c r="Z524" s="1"/>
      <c r="AA524" s="1"/>
    </row>
    <row r="525" spans="1:27" ht="14" x14ac:dyDescent="0.15">
      <c r="A525" s="9">
        <v>524</v>
      </c>
      <c r="B525" s="9" t="s">
        <v>548</v>
      </c>
      <c r="C525" s="9" t="s">
        <v>23</v>
      </c>
      <c r="D525" s="10">
        <v>348.12</v>
      </c>
      <c r="E525" s="10">
        <v>348.12</v>
      </c>
      <c r="F525" s="10">
        <v>0.59</v>
      </c>
      <c r="G525" s="9">
        <f t="shared" si="31"/>
        <v>161.65968999999987</v>
      </c>
      <c r="H525" s="13" t="s">
        <v>456</v>
      </c>
      <c r="I525" s="12"/>
      <c r="K525">
        <f t="shared" si="32"/>
        <v>348.12</v>
      </c>
      <c r="L525" s="1"/>
      <c r="M525" s="1"/>
      <c r="N525" s="1"/>
      <c r="T525" s="1"/>
      <c r="U525" s="1"/>
      <c r="V525" s="1"/>
      <c r="W525" s="1"/>
      <c r="X525" s="1"/>
      <c r="Y525" s="1"/>
      <c r="Z525" s="1"/>
      <c r="AA525" s="1"/>
    </row>
    <row r="526" spans="1:27" ht="14" x14ac:dyDescent="0.15">
      <c r="A526" s="9">
        <v>525</v>
      </c>
      <c r="B526" s="9" t="s">
        <v>549</v>
      </c>
      <c r="C526" s="9" t="s">
        <v>19</v>
      </c>
      <c r="D526" s="10">
        <v>338.78</v>
      </c>
      <c r="E526" s="10">
        <v>347.28</v>
      </c>
      <c r="F526" s="10">
        <v>40.44</v>
      </c>
      <c r="G526" s="9">
        <f t="shared" si="31"/>
        <v>162.00696999999988</v>
      </c>
      <c r="H526" s="13" t="s">
        <v>456</v>
      </c>
      <c r="I526" s="12"/>
      <c r="J526" s="7">
        <f>D526+8.5</f>
        <v>347.28</v>
      </c>
      <c r="K526">
        <f t="shared" si="32"/>
        <v>347.28</v>
      </c>
      <c r="L526" s="1"/>
      <c r="M526" s="1"/>
      <c r="N526" s="1"/>
      <c r="T526" s="1"/>
      <c r="U526" s="1"/>
      <c r="V526" s="1"/>
      <c r="W526" s="1"/>
      <c r="X526" s="1"/>
      <c r="Y526" s="1"/>
      <c r="Z526" s="1"/>
      <c r="AA526" s="1"/>
    </row>
    <row r="527" spans="1:27" ht="14" x14ac:dyDescent="0.15">
      <c r="A527" s="9">
        <v>526</v>
      </c>
      <c r="B527" s="9" t="s">
        <v>550</v>
      </c>
      <c r="C527" s="9" t="s">
        <v>16</v>
      </c>
      <c r="D527" s="10">
        <v>361.71</v>
      </c>
      <c r="E527" s="10">
        <v>361.71</v>
      </c>
      <c r="F527" s="10">
        <v>4.88</v>
      </c>
      <c r="G527" s="9">
        <f t="shared" si="31"/>
        <v>162.36867999999987</v>
      </c>
      <c r="H527" s="13" t="s">
        <v>456</v>
      </c>
      <c r="I527" s="12"/>
      <c r="K527">
        <f t="shared" si="32"/>
        <v>361.71</v>
      </c>
      <c r="L527" s="1"/>
      <c r="M527" s="1"/>
      <c r="N527" s="1"/>
      <c r="T527" s="1"/>
      <c r="U527" s="1"/>
      <c r="V527" s="1"/>
      <c r="W527" s="1"/>
      <c r="X527" s="1"/>
      <c r="Y527" s="1"/>
      <c r="Z527" s="1"/>
      <c r="AA527" s="1"/>
    </row>
    <row r="528" spans="1:27" ht="14" x14ac:dyDescent="0.15">
      <c r="A528" s="9">
        <v>527</v>
      </c>
      <c r="B528" s="9" t="s">
        <v>551</v>
      </c>
      <c r="C528" s="9" t="s">
        <v>23</v>
      </c>
      <c r="D528" s="10">
        <v>338.58</v>
      </c>
      <c r="E528" s="10">
        <v>338.58</v>
      </c>
      <c r="F528" s="10">
        <v>1.41</v>
      </c>
      <c r="G528" s="9">
        <f t="shared" si="31"/>
        <v>162.70725999999988</v>
      </c>
      <c r="H528" s="13" t="s">
        <v>456</v>
      </c>
      <c r="I528" s="12"/>
      <c r="K528">
        <f t="shared" si="32"/>
        <v>338.58</v>
      </c>
      <c r="L528" s="1"/>
      <c r="M528" s="1"/>
      <c r="N528" s="1"/>
      <c r="T528" s="1"/>
      <c r="U528" s="1"/>
      <c r="V528" s="1"/>
      <c r="W528" s="1"/>
      <c r="X528" s="1"/>
      <c r="Y528" s="1"/>
      <c r="Z528" s="1"/>
      <c r="AA528" s="1"/>
    </row>
    <row r="529" spans="1:27" ht="14" x14ac:dyDescent="0.15">
      <c r="A529" s="9">
        <v>528</v>
      </c>
      <c r="B529" s="9" t="s">
        <v>552</v>
      </c>
      <c r="C529" s="9" t="s">
        <v>28</v>
      </c>
      <c r="D529" s="10">
        <v>342.76</v>
      </c>
      <c r="E529" s="10">
        <v>351.26</v>
      </c>
      <c r="F529" s="10">
        <v>26.95</v>
      </c>
      <c r="G529" s="9">
        <f t="shared" si="31"/>
        <v>163.05851999999987</v>
      </c>
      <c r="H529" s="13" t="s">
        <v>456</v>
      </c>
      <c r="I529" s="12"/>
      <c r="J529" s="7">
        <f>D529+8.5</f>
        <v>351.26</v>
      </c>
      <c r="K529">
        <f t="shared" si="32"/>
        <v>351.26</v>
      </c>
      <c r="L529" s="1"/>
      <c r="M529" s="1"/>
      <c r="N529" s="1"/>
      <c r="T529" s="1"/>
      <c r="U529" s="1"/>
      <c r="V529" s="1"/>
      <c r="W529" s="1"/>
      <c r="X529" s="1"/>
      <c r="Y529" s="1"/>
      <c r="Z529" s="1"/>
      <c r="AA529" s="1"/>
    </row>
    <row r="530" spans="1:27" ht="14" x14ac:dyDescent="0.15">
      <c r="A530" s="9">
        <v>529</v>
      </c>
      <c r="B530" s="9" t="s">
        <v>553</v>
      </c>
      <c r="C530" s="9" t="s">
        <v>23</v>
      </c>
      <c r="D530" s="10">
        <v>322.29000000000002</v>
      </c>
      <c r="E530" s="10">
        <v>322.29000000000002</v>
      </c>
      <c r="F530" s="10">
        <v>1.89</v>
      </c>
      <c r="G530" s="9">
        <f t="shared" si="31"/>
        <v>163.38080999999988</v>
      </c>
      <c r="H530" s="13" t="s">
        <v>456</v>
      </c>
      <c r="I530" s="12"/>
      <c r="K530">
        <f t="shared" si="32"/>
        <v>322.29000000000002</v>
      </c>
      <c r="L530" s="1"/>
      <c r="M530" s="1"/>
      <c r="N530" s="1"/>
      <c r="T530" s="1"/>
      <c r="U530" s="1"/>
      <c r="V530" s="1"/>
      <c r="W530" s="1"/>
      <c r="X530" s="1"/>
      <c r="Y530" s="1"/>
      <c r="Z530" s="1"/>
      <c r="AA530" s="1"/>
    </row>
    <row r="531" spans="1:27" ht="14" x14ac:dyDescent="0.15">
      <c r="A531" s="9">
        <v>530</v>
      </c>
      <c r="B531" s="9" t="s">
        <v>554</v>
      </c>
      <c r="C531" s="9" t="s">
        <v>23</v>
      </c>
      <c r="D531" s="10">
        <v>326.36</v>
      </c>
      <c r="E531" s="10">
        <v>326.36</v>
      </c>
      <c r="F531" s="10">
        <v>0.4</v>
      </c>
      <c r="G531" s="9">
        <f t="shared" si="31"/>
        <v>163.70716999999988</v>
      </c>
      <c r="H531" s="13" t="s">
        <v>456</v>
      </c>
      <c r="I531" s="12"/>
      <c r="K531">
        <f t="shared" si="32"/>
        <v>326.36</v>
      </c>
      <c r="L531" s="1"/>
      <c r="M531" s="1"/>
      <c r="N531" s="1"/>
      <c r="T531" s="1"/>
      <c r="U531" s="1"/>
      <c r="V531" s="1"/>
      <c r="W531" s="1"/>
      <c r="X531" s="1"/>
      <c r="Y531" s="1"/>
      <c r="Z531" s="1"/>
      <c r="AA531" s="1"/>
    </row>
    <row r="532" spans="1:27" ht="14" x14ac:dyDescent="0.15">
      <c r="A532" s="9">
        <v>531</v>
      </c>
      <c r="B532" s="9" t="s">
        <v>555</v>
      </c>
      <c r="C532" s="9" t="s">
        <v>28</v>
      </c>
      <c r="D532" s="10">
        <v>319.10000000000002</v>
      </c>
      <c r="E532" s="10">
        <v>327.60000000000002</v>
      </c>
      <c r="F532" s="10">
        <v>0.19</v>
      </c>
      <c r="G532" s="9">
        <f t="shared" si="31"/>
        <v>164.03476999999987</v>
      </c>
      <c r="H532" s="13" t="s">
        <v>456</v>
      </c>
      <c r="I532" s="12"/>
      <c r="J532" s="7">
        <f>D532+8.5</f>
        <v>327.60000000000002</v>
      </c>
      <c r="K532">
        <f t="shared" si="32"/>
        <v>327.60000000000002</v>
      </c>
      <c r="L532" s="1"/>
      <c r="M532" s="1"/>
      <c r="N532" s="1"/>
      <c r="T532" s="1"/>
      <c r="U532" s="1"/>
      <c r="V532" s="1"/>
      <c r="W532" s="1"/>
      <c r="X532" s="1"/>
      <c r="Y532" s="1"/>
      <c r="Z532" s="1"/>
      <c r="AA532" s="1"/>
    </row>
    <row r="533" spans="1:27" ht="14" x14ac:dyDescent="0.15">
      <c r="A533" s="9">
        <v>532</v>
      </c>
      <c r="B533" s="9" t="s">
        <v>556</v>
      </c>
      <c r="C533" s="9" t="s">
        <v>23</v>
      </c>
      <c r="D533" s="10">
        <v>382.72</v>
      </c>
      <c r="E533" s="10">
        <v>382.72</v>
      </c>
      <c r="F533" s="10">
        <v>25.08</v>
      </c>
      <c r="G533" s="9">
        <f t="shared" si="31"/>
        <v>164.41748999999987</v>
      </c>
      <c r="H533" s="13" t="s">
        <v>456</v>
      </c>
      <c r="I533" s="12"/>
      <c r="K533">
        <f t="shared" si="32"/>
        <v>382.72</v>
      </c>
      <c r="L533" s="1"/>
      <c r="M533" s="1"/>
      <c r="N533" s="1"/>
      <c r="T533" s="1"/>
      <c r="U533" s="1"/>
      <c r="V533" s="1"/>
      <c r="W533" s="1"/>
      <c r="X533" s="1"/>
      <c r="Y533" s="1"/>
      <c r="Z533" s="1"/>
      <c r="AA533" s="1"/>
    </row>
    <row r="534" spans="1:27" ht="14" x14ac:dyDescent="0.15">
      <c r="A534" s="9">
        <v>533</v>
      </c>
      <c r="B534" s="9" t="s">
        <v>557</v>
      </c>
      <c r="C534" s="9" t="s">
        <v>23</v>
      </c>
      <c r="D534" s="10">
        <v>415.72</v>
      </c>
      <c r="E534" s="10">
        <v>415.72</v>
      </c>
      <c r="F534" s="10">
        <v>2.36</v>
      </c>
      <c r="G534" s="9">
        <f t="shared" si="31"/>
        <v>164.83320999999987</v>
      </c>
      <c r="H534" s="13" t="s">
        <v>456</v>
      </c>
      <c r="I534" s="12"/>
      <c r="K534">
        <f t="shared" si="32"/>
        <v>415.72</v>
      </c>
      <c r="L534" s="1"/>
      <c r="M534" s="1"/>
      <c r="N534" s="1"/>
      <c r="T534" s="1"/>
      <c r="U534" s="1"/>
      <c r="V534" s="1"/>
      <c r="W534" s="1"/>
      <c r="X534" s="1"/>
      <c r="Y534" s="1"/>
      <c r="Z534" s="1"/>
      <c r="AA534" s="1"/>
    </row>
    <row r="535" spans="1:27" ht="14" x14ac:dyDescent="0.15">
      <c r="A535" s="9">
        <v>534</v>
      </c>
      <c r="B535" s="9" t="s">
        <v>558</v>
      </c>
      <c r="C535" s="9" t="s">
        <v>19</v>
      </c>
      <c r="D535" s="10">
        <v>237.32</v>
      </c>
      <c r="E535" s="10">
        <v>245.82</v>
      </c>
      <c r="F535" s="10">
        <v>41.63</v>
      </c>
      <c r="G535" s="9">
        <f t="shared" si="31"/>
        <v>165.07902999999988</v>
      </c>
      <c r="H535" s="13" t="s">
        <v>456</v>
      </c>
      <c r="I535" s="12"/>
      <c r="J535" s="7">
        <f>D535+8.5</f>
        <v>245.82</v>
      </c>
      <c r="K535">
        <f t="shared" si="32"/>
        <v>245.82</v>
      </c>
      <c r="L535" s="1"/>
      <c r="M535" s="1"/>
      <c r="N535" s="1"/>
      <c r="T535" s="1"/>
      <c r="U535" s="1"/>
      <c r="V535" s="1"/>
      <c r="W535" s="1"/>
      <c r="X535" s="1"/>
      <c r="Y535" s="1"/>
      <c r="Z535" s="1"/>
      <c r="AA535" s="1"/>
    </row>
    <row r="536" spans="1:27" ht="14" x14ac:dyDescent="0.15">
      <c r="A536" s="9">
        <v>535</v>
      </c>
      <c r="B536" s="9" t="s">
        <v>559</v>
      </c>
      <c r="C536" s="9" t="s">
        <v>23</v>
      </c>
      <c r="D536" s="10">
        <v>243.18</v>
      </c>
      <c r="E536" s="10">
        <v>243.18</v>
      </c>
      <c r="F536" s="10">
        <v>0.57999999999999996</v>
      </c>
      <c r="G536" s="9">
        <f t="shared" si="31"/>
        <v>165.32220999999987</v>
      </c>
      <c r="H536" s="13" t="s">
        <v>456</v>
      </c>
      <c r="I536" s="12"/>
      <c r="K536">
        <f t="shared" si="32"/>
        <v>243.18</v>
      </c>
      <c r="L536" s="1"/>
      <c r="M536" s="1"/>
      <c r="N536" s="1"/>
      <c r="T536" s="1"/>
      <c r="U536" s="1"/>
      <c r="V536" s="1"/>
      <c r="W536" s="1"/>
      <c r="X536" s="1"/>
      <c r="Y536" s="1"/>
      <c r="Z536" s="1"/>
      <c r="AA536" s="1"/>
    </row>
    <row r="537" spans="1:27" ht="14" x14ac:dyDescent="0.15">
      <c r="A537" s="9">
        <v>536</v>
      </c>
      <c r="B537" s="9" t="s">
        <v>560</v>
      </c>
      <c r="C537" s="9" t="s">
        <v>19</v>
      </c>
      <c r="D537" s="10">
        <v>291.62</v>
      </c>
      <c r="E537" s="10">
        <v>300.12</v>
      </c>
      <c r="F537" s="10">
        <v>56.83</v>
      </c>
      <c r="G537" s="9">
        <f t="shared" si="31"/>
        <v>165.62232999999986</v>
      </c>
      <c r="H537" s="13" t="s">
        <v>456</v>
      </c>
      <c r="I537" s="12"/>
      <c r="J537" s="7">
        <f>D537+8.5</f>
        <v>300.12</v>
      </c>
      <c r="K537">
        <f t="shared" si="32"/>
        <v>300.12</v>
      </c>
      <c r="L537" s="1"/>
      <c r="M537" s="1"/>
      <c r="N537" s="1"/>
      <c r="T537" s="1"/>
      <c r="U537" s="1"/>
      <c r="V537" s="1"/>
      <c r="W537" s="1"/>
      <c r="X537" s="1"/>
      <c r="Y537" s="1"/>
      <c r="Z537" s="1"/>
      <c r="AA537" s="1"/>
    </row>
    <row r="538" spans="1:27" ht="14" x14ac:dyDescent="0.15">
      <c r="A538" s="9">
        <v>537</v>
      </c>
      <c r="B538" s="9" t="s">
        <v>561</v>
      </c>
      <c r="C538" s="9" t="s">
        <v>23</v>
      </c>
      <c r="D538" s="10">
        <v>329.85</v>
      </c>
      <c r="E538" s="10">
        <v>329.85</v>
      </c>
      <c r="F538" s="10">
        <v>0.41</v>
      </c>
      <c r="G538" s="9">
        <f t="shared" si="31"/>
        <v>165.95217999999986</v>
      </c>
      <c r="H538" s="13" t="s">
        <v>456</v>
      </c>
      <c r="I538" s="12"/>
      <c r="K538">
        <f t="shared" si="32"/>
        <v>329.85</v>
      </c>
      <c r="L538" s="1"/>
      <c r="M538" s="1"/>
      <c r="N538" s="1"/>
      <c r="T538" s="1"/>
      <c r="U538" s="1"/>
      <c r="V538" s="1"/>
      <c r="W538" s="1"/>
      <c r="X538" s="1"/>
      <c r="Y538" s="1"/>
      <c r="Z538" s="1"/>
      <c r="AA538" s="1"/>
    </row>
    <row r="539" spans="1:27" ht="14" x14ac:dyDescent="0.15">
      <c r="A539" s="9">
        <v>538</v>
      </c>
      <c r="B539" s="9" t="s">
        <v>562</v>
      </c>
      <c r="C539" s="9" t="s">
        <v>28</v>
      </c>
      <c r="D539" s="10">
        <v>330.15</v>
      </c>
      <c r="E539" s="10">
        <v>338.65</v>
      </c>
      <c r="F539" s="10">
        <v>28.37</v>
      </c>
      <c r="G539" s="9">
        <f t="shared" si="31"/>
        <v>166.29082999999986</v>
      </c>
      <c r="H539" s="13" t="s">
        <v>456</v>
      </c>
      <c r="I539" s="12"/>
      <c r="J539" s="7">
        <f>D539+8.5</f>
        <v>338.65</v>
      </c>
      <c r="K539">
        <f t="shared" si="32"/>
        <v>338.65</v>
      </c>
      <c r="L539" s="1"/>
      <c r="M539" s="1"/>
      <c r="N539" s="1"/>
      <c r="T539" s="1"/>
      <c r="U539" s="1"/>
      <c r="V539" s="1"/>
      <c r="W539" s="1"/>
      <c r="X539" s="1"/>
      <c r="Y539" s="1"/>
      <c r="Z539" s="1"/>
      <c r="AA539" s="1"/>
    </row>
    <row r="540" spans="1:27" ht="14" x14ac:dyDescent="0.15">
      <c r="A540" s="9">
        <v>539</v>
      </c>
      <c r="B540" s="9" t="s">
        <v>563</v>
      </c>
      <c r="C540" s="9" t="s">
        <v>23</v>
      </c>
      <c r="D540" s="10">
        <v>325.10000000000002</v>
      </c>
      <c r="E540" s="10">
        <v>325.10000000000002</v>
      </c>
      <c r="F540" s="10">
        <v>0.26</v>
      </c>
      <c r="G540" s="9">
        <f t="shared" si="31"/>
        <v>166.61592999999985</v>
      </c>
      <c r="H540" s="13" t="s">
        <v>456</v>
      </c>
      <c r="I540" s="12"/>
      <c r="K540">
        <f t="shared" si="32"/>
        <v>325.10000000000002</v>
      </c>
      <c r="L540" s="1"/>
      <c r="M540" s="1"/>
      <c r="N540" s="1"/>
      <c r="T540" s="1"/>
      <c r="U540" s="1"/>
      <c r="V540" s="1"/>
      <c r="W540" s="1"/>
      <c r="X540" s="1"/>
      <c r="Y540" s="1"/>
      <c r="Z540" s="1"/>
      <c r="AA540" s="1"/>
    </row>
    <row r="541" spans="1:27" ht="14" x14ac:dyDescent="0.15">
      <c r="A541" s="9">
        <v>540</v>
      </c>
      <c r="B541" s="9" t="s">
        <v>564</v>
      </c>
      <c r="C541" s="9" t="s">
        <v>23</v>
      </c>
      <c r="D541" s="10">
        <v>245.87</v>
      </c>
      <c r="E541" s="10">
        <v>245.87</v>
      </c>
      <c r="F541" s="10">
        <v>0.47</v>
      </c>
      <c r="G541" s="9">
        <f t="shared" si="31"/>
        <v>166.86179999999985</v>
      </c>
      <c r="H541" s="13" t="s">
        <v>456</v>
      </c>
      <c r="I541" s="12"/>
      <c r="K541">
        <f t="shared" si="32"/>
        <v>245.87</v>
      </c>
      <c r="L541" s="1"/>
      <c r="M541" s="1"/>
      <c r="N541" s="1"/>
      <c r="T541" s="1"/>
      <c r="U541" s="1"/>
      <c r="V541" s="1"/>
      <c r="W541" s="1"/>
      <c r="X541" s="1"/>
      <c r="Y541" s="1"/>
      <c r="Z541" s="1"/>
      <c r="AA541" s="1"/>
    </row>
    <row r="542" spans="1:27" ht="14" x14ac:dyDescent="0.15">
      <c r="A542" s="9">
        <v>541</v>
      </c>
      <c r="B542" s="9" t="s">
        <v>565</v>
      </c>
      <c r="C542" s="9" t="s">
        <v>23</v>
      </c>
      <c r="D542" s="10">
        <v>362.46</v>
      </c>
      <c r="E542" s="10">
        <v>362.46</v>
      </c>
      <c r="F542" s="10">
        <v>0.4</v>
      </c>
      <c r="G542" s="9">
        <f t="shared" si="31"/>
        <v>167.22425999999984</v>
      </c>
      <c r="H542" s="13" t="s">
        <v>456</v>
      </c>
      <c r="I542" s="12"/>
      <c r="K542">
        <f t="shared" si="32"/>
        <v>362.46</v>
      </c>
      <c r="L542" s="1"/>
      <c r="M542" s="1"/>
      <c r="N542" s="1"/>
      <c r="T542" s="1"/>
      <c r="U542" s="1"/>
      <c r="V542" s="1"/>
      <c r="W542" s="1"/>
      <c r="X542" s="1"/>
      <c r="Y542" s="1"/>
      <c r="Z542" s="1"/>
      <c r="AA542" s="1"/>
    </row>
    <row r="543" spans="1:27" ht="14" x14ac:dyDescent="0.15">
      <c r="A543" s="9">
        <v>542</v>
      </c>
      <c r="B543" s="9" t="s">
        <v>566</v>
      </c>
      <c r="C543" s="9" t="s">
        <v>23</v>
      </c>
      <c r="D543" s="10">
        <v>302.02999999999997</v>
      </c>
      <c r="E543" s="10">
        <v>302.02999999999997</v>
      </c>
      <c r="F543" s="10">
        <v>0.94</v>
      </c>
      <c r="G543" s="9">
        <f t="shared" si="31"/>
        <v>167.52628999999985</v>
      </c>
      <c r="H543" s="13" t="s">
        <v>456</v>
      </c>
      <c r="I543" s="12"/>
      <c r="K543">
        <f t="shared" si="32"/>
        <v>302.02999999999997</v>
      </c>
      <c r="L543" s="1"/>
      <c r="M543" s="1"/>
      <c r="N543" s="1"/>
      <c r="T543" s="1"/>
      <c r="U543" s="1"/>
      <c r="V543" s="1"/>
      <c r="W543" s="1"/>
      <c r="X543" s="1"/>
      <c r="Y543" s="1"/>
      <c r="Z543" s="1"/>
      <c r="AA543" s="1"/>
    </row>
    <row r="544" spans="1:27" ht="14" x14ac:dyDescent="0.15">
      <c r="A544" s="9">
        <v>543</v>
      </c>
      <c r="B544" s="9" t="s">
        <v>567</v>
      </c>
      <c r="C544" s="9" t="s">
        <v>19</v>
      </c>
      <c r="D544" s="10">
        <v>226.24</v>
      </c>
      <c r="E544" s="10">
        <v>234.74</v>
      </c>
      <c r="F544" s="10">
        <v>37.94</v>
      </c>
      <c r="G544" s="9">
        <f t="shared" si="31"/>
        <v>167.76102999999983</v>
      </c>
      <c r="H544" s="13" t="s">
        <v>456</v>
      </c>
      <c r="I544" s="12"/>
      <c r="J544" s="7">
        <f>D544+8.5</f>
        <v>234.74</v>
      </c>
      <c r="K544">
        <f t="shared" si="32"/>
        <v>234.74</v>
      </c>
      <c r="L544" s="1"/>
      <c r="M544" s="1"/>
      <c r="N544" s="1"/>
      <c r="T544" s="1"/>
      <c r="U544" s="1"/>
      <c r="V544" s="1"/>
      <c r="W544" s="1"/>
      <c r="X544" s="1"/>
      <c r="Y544" s="1"/>
      <c r="Z544" s="1"/>
      <c r="AA544" s="1"/>
    </row>
    <row r="545" spans="1:27" ht="14" x14ac:dyDescent="0.15">
      <c r="A545" s="9">
        <v>544</v>
      </c>
      <c r="B545" s="9" t="s">
        <v>568</v>
      </c>
      <c r="C545" s="9" t="s">
        <v>23</v>
      </c>
      <c r="D545" s="10">
        <v>254.12</v>
      </c>
      <c r="E545" s="10">
        <v>254.12</v>
      </c>
      <c r="F545" s="10">
        <v>0.04</v>
      </c>
      <c r="G545" s="9">
        <f t="shared" si="31"/>
        <v>168.01514999999984</v>
      </c>
      <c r="H545" s="13" t="s">
        <v>456</v>
      </c>
      <c r="I545" s="12"/>
      <c r="K545">
        <f t="shared" si="32"/>
        <v>254.12</v>
      </c>
      <c r="L545" s="1"/>
      <c r="M545" s="1"/>
      <c r="N545" s="1"/>
      <c r="T545" s="1"/>
      <c r="U545" s="1"/>
      <c r="V545" s="1"/>
      <c r="W545" s="1"/>
      <c r="X545" s="1"/>
      <c r="Y545" s="1"/>
      <c r="Z545" s="1"/>
      <c r="AA545" s="1"/>
    </row>
    <row r="546" spans="1:27" ht="14" x14ac:dyDescent="0.15">
      <c r="A546" s="9">
        <v>545</v>
      </c>
      <c r="B546" s="9" t="s">
        <v>569</v>
      </c>
      <c r="C546" s="9" t="s">
        <v>19</v>
      </c>
      <c r="D546" s="10">
        <v>314.92</v>
      </c>
      <c r="E546" s="10">
        <v>323.42</v>
      </c>
      <c r="F546" s="10">
        <v>52.86</v>
      </c>
      <c r="G546" s="9">
        <f t="shared" si="31"/>
        <v>168.33856999999983</v>
      </c>
      <c r="H546" s="13" t="s">
        <v>456</v>
      </c>
      <c r="I546" s="12"/>
      <c r="J546" s="7">
        <f t="shared" ref="J546:J547" si="33">D546+8.5</f>
        <v>323.42</v>
      </c>
      <c r="K546">
        <f t="shared" si="32"/>
        <v>323.42</v>
      </c>
      <c r="L546" s="1"/>
      <c r="M546" s="1"/>
      <c r="N546" s="1"/>
      <c r="T546" s="1"/>
      <c r="U546" s="1"/>
      <c r="V546" s="1"/>
      <c r="W546" s="1"/>
      <c r="X546" s="1"/>
      <c r="Y546" s="1"/>
      <c r="Z546" s="1"/>
      <c r="AA546" s="1"/>
    </row>
    <row r="547" spans="1:27" ht="14" x14ac:dyDescent="0.15">
      <c r="A547" s="9">
        <v>546</v>
      </c>
      <c r="B547" s="9" t="s">
        <v>570</v>
      </c>
      <c r="C547" s="9" t="s">
        <v>19</v>
      </c>
      <c r="D547" s="10">
        <v>303.52</v>
      </c>
      <c r="E547" s="10">
        <v>312.02</v>
      </c>
      <c r="F547" s="10">
        <v>54.18</v>
      </c>
      <c r="G547" s="9">
        <f t="shared" si="31"/>
        <v>168.65058999999982</v>
      </c>
      <c r="H547" s="13" t="s">
        <v>456</v>
      </c>
      <c r="I547" s="12"/>
      <c r="J547" s="7">
        <f t="shared" si="33"/>
        <v>312.02</v>
      </c>
      <c r="K547">
        <f t="shared" si="32"/>
        <v>312.02</v>
      </c>
      <c r="L547" s="1"/>
      <c r="M547" s="1"/>
      <c r="N547" s="1"/>
      <c r="T547" s="1"/>
      <c r="U547" s="1"/>
      <c r="V547" s="1"/>
      <c r="W547" s="1"/>
      <c r="X547" s="1"/>
      <c r="Y547" s="1"/>
      <c r="Z547" s="1"/>
      <c r="AA547" s="1"/>
    </row>
    <row r="548" spans="1:27" ht="14" x14ac:dyDescent="0.15">
      <c r="A548" s="9">
        <v>547</v>
      </c>
      <c r="B548" s="9" t="s">
        <v>571</v>
      </c>
      <c r="C548" s="9" t="s">
        <v>23</v>
      </c>
      <c r="D548" s="10">
        <v>291.60000000000002</v>
      </c>
      <c r="E548" s="10">
        <v>291.60000000000002</v>
      </c>
      <c r="F548" s="10">
        <v>0.35</v>
      </c>
      <c r="G548" s="9">
        <f t="shared" si="31"/>
        <v>168.94218999999981</v>
      </c>
      <c r="H548" s="13" t="s">
        <v>456</v>
      </c>
      <c r="I548" s="12"/>
      <c r="K548">
        <f t="shared" si="32"/>
        <v>291.60000000000002</v>
      </c>
      <c r="L548" s="1"/>
      <c r="M548" s="1"/>
      <c r="N548" s="1"/>
      <c r="T548" s="1"/>
      <c r="U548" s="1"/>
      <c r="V548" s="1"/>
      <c r="W548" s="1"/>
      <c r="X548" s="1"/>
      <c r="Y548" s="1"/>
      <c r="Z548" s="1"/>
      <c r="AA548" s="1"/>
    </row>
    <row r="549" spans="1:27" ht="14" x14ac:dyDescent="0.15">
      <c r="A549" s="9">
        <v>548</v>
      </c>
      <c r="B549" s="9" t="s">
        <v>572</v>
      </c>
      <c r="C549" s="9" t="s">
        <v>28</v>
      </c>
      <c r="D549" s="10">
        <v>291.52</v>
      </c>
      <c r="E549" s="10">
        <v>300.02</v>
      </c>
      <c r="F549" s="10">
        <v>17.59</v>
      </c>
      <c r="G549" s="9">
        <f t="shared" si="31"/>
        <v>169.2422099999998</v>
      </c>
      <c r="H549" s="13" t="s">
        <v>456</v>
      </c>
      <c r="I549" s="12"/>
      <c r="J549" s="7">
        <f>D549+8.5</f>
        <v>300.02</v>
      </c>
      <c r="K549">
        <f t="shared" si="32"/>
        <v>300.02</v>
      </c>
      <c r="L549" s="1"/>
      <c r="M549" s="1"/>
      <c r="N549" s="1"/>
      <c r="T549" s="1"/>
      <c r="U549" s="1"/>
      <c r="V549" s="1"/>
      <c r="W549" s="1"/>
      <c r="X549" s="1"/>
      <c r="Y549" s="1"/>
      <c r="Z549" s="1"/>
      <c r="AA549" s="1"/>
    </row>
    <row r="550" spans="1:27" ht="14" x14ac:dyDescent="0.15">
      <c r="A550" s="9">
        <v>549</v>
      </c>
      <c r="B550" s="9" t="s">
        <v>573</v>
      </c>
      <c r="C550" s="9" t="s">
        <v>23</v>
      </c>
      <c r="D550" s="10">
        <v>290.81</v>
      </c>
      <c r="E550" s="10">
        <v>290.81</v>
      </c>
      <c r="F550" s="10">
        <v>0.67</v>
      </c>
      <c r="G550" s="9">
        <f t="shared" si="31"/>
        <v>169.53301999999979</v>
      </c>
      <c r="H550" s="13" t="s">
        <v>456</v>
      </c>
      <c r="I550" s="12"/>
      <c r="K550">
        <f t="shared" si="32"/>
        <v>290.81</v>
      </c>
      <c r="L550" s="1"/>
      <c r="M550" s="1"/>
      <c r="N550" s="1"/>
      <c r="T550" s="1"/>
      <c r="U550" s="1"/>
      <c r="V550" s="1"/>
      <c r="W550" s="1"/>
      <c r="X550" s="1"/>
      <c r="Y550" s="1"/>
      <c r="Z550" s="1"/>
      <c r="AA550" s="1"/>
    </row>
    <row r="551" spans="1:27" ht="14" x14ac:dyDescent="0.15">
      <c r="A551" s="9">
        <v>550</v>
      </c>
      <c r="B551" s="9" t="s">
        <v>574</v>
      </c>
      <c r="C551" s="9" t="s">
        <v>23</v>
      </c>
      <c r="D551" s="10">
        <v>237.73</v>
      </c>
      <c r="E551" s="10">
        <v>237.73</v>
      </c>
      <c r="F551" s="10">
        <v>0.42</v>
      </c>
      <c r="G551" s="9">
        <f t="shared" si="31"/>
        <v>169.77074999999979</v>
      </c>
      <c r="H551" s="13" t="s">
        <v>456</v>
      </c>
      <c r="I551" s="12"/>
      <c r="K551">
        <f t="shared" si="32"/>
        <v>237.73</v>
      </c>
      <c r="L551" s="1"/>
      <c r="M551" s="1"/>
      <c r="N551" s="1"/>
      <c r="T551" s="1"/>
      <c r="U551" s="1"/>
      <c r="V551" s="1"/>
      <c r="W551" s="1"/>
      <c r="X551" s="1"/>
      <c r="Y551" s="1"/>
      <c r="Z551" s="1"/>
      <c r="AA551" s="1"/>
    </row>
    <row r="552" spans="1:27" ht="14" x14ac:dyDescent="0.15">
      <c r="A552" s="9">
        <v>551</v>
      </c>
      <c r="B552" s="9" t="s">
        <v>575</v>
      </c>
      <c r="C552" s="9" t="s">
        <v>28</v>
      </c>
      <c r="D552" s="10">
        <v>210.19</v>
      </c>
      <c r="E552" s="10">
        <v>218.69</v>
      </c>
      <c r="F552" s="10">
        <v>28.57</v>
      </c>
      <c r="G552" s="9">
        <f t="shared" si="31"/>
        <v>169.9894399999998</v>
      </c>
      <c r="H552" s="13" t="s">
        <v>456</v>
      </c>
      <c r="I552" s="12"/>
      <c r="J552" s="7">
        <f t="shared" ref="J552:J556" si="34">D552+8.5</f>
        <v>218.69</v>
      </c>
      <c r="K552">
        <f t="shared" si="32"/>
        <v>218.69</v>
      </c>
      <c r="L552" s="1"/>
      <c r="M552" s="1"/>
      <c r="N552" s="1"/>
      <c r="T552" s="1"/>
      <c r="U552" s="1"/>
      <c r="V552" s="1"/>
      <c r="W552" s="1"/>
      <c r="X552" s="1"/>
      <c r="Y552" s="1"/>
      <c r="Z552" s="1"/>
      <c r="AA552" s="1"/>
    </row>
    <row r="553" spans="1:27" ht="14" x14ac:dyDescent="0.15">
      <c r="A553" s="9">
        <v>552</v>
      </c>
      <c r="B553" s="9" t="s">
        <v>576</v>
      </c>
      <c r="C553" s="9" t="s">
        <v>28</v>
      </c>
      <c r="D553" s="10">
        <v>263.14999999999998</v>
      </c>
      <c r="E553" s="10">
        <v>271.64999999999998</v>
      </c>
      <c r="F553" s="10">
        <v>10.07</v>
      </c>
      <c r="G553" s="9">
        <f t="shared" si="31"/>
        <v>170.2610899999998</v>
      </c>
      <c r="H553" s="13" t="s">
        <v>456</v>
      </c>
      <c r="I553" s="12"/>
      <c r="J553" s="7">
        <f t="shared" si="34"/>
        <v>271.64999999999998</v>
      </c>
      <c r="K553">
        <f t="shared" si="32"/>
        <v>271.64999999999998</v>
      </c>
      <c r="L553" s="1"/>
      <c r="M553" s="1"/>
      <c r="N553" s="1"/>
      <c r="T553" s="1"/>
      <c r="U553" s="1"/>
      <c r="V553" s="1"/>
      <c r="W553" s="1"/>
      <c r="X553" s="1"/>
      <c r="Y553" s="1"/>
      <c r="Z553" s="1"/>
      <c r="AA553" s="1"/>
    </row>
    <row r="554" spans="1:27" ht="14" x14ac:dyDescent="0.15">
      <c r="A554" s="9">
        <v>553</v>
      </c>
      <c r="B554" s="9" t="s">
        <v>577</v>
      </c>
      <c r="C554" s="9" t="s">
        <v>19</v>
      </c>
      <c r="D554" s="10">
        <v>146.47999999999999</v>
      </c>
      <c r="E554" s="10">
        <v>154.97999999999999</v>
      </c>
      <c r="F554" s="10">
        <v>31.54</v>
      </c>
      <c r="G554" s="9">
        <f t="shared" si="31"/>
        <v>170.41606999999979</v>
      </c>
      <c r="H554" s="13" t="s">
        <v>456</v>
      </c>
      <c r="I554" s="12"/>
      <c r="J554" s="7">
        <f t="shared" si="34"/>
        <v>154.97999999999999</v>
      </c>
      <c r="K554">
        <f t="shared" si="32"/>
        <v>154.97999999999999</v>
      </c>
      <c r="L554" s="1"/>
      <c r="M554" s="1"/>
      <c r="N554" s="1"/>
      <c r="T554" s="1"/>
      <c r="U554" s="1"/>
      <c r="V554" s="1"/>
      <c r="W554" s="1"/>
      <c r="X554" s="1"/>
      <c r="Y554" s="1"/>
      <c r="Z554" s="1"/>
      <c r="AA554" s="1"/>
    </row>
    <row r="555" spans="1:27" ht="14" x14ac:dyDescent="0.15">
      <c r="A555" s="9">
        <v>554</v>
      </c>
      <c r="B555" s="9" t="s">
        <v>578</v>
      </c>
      <c r="C555" s="9" t="s">
        <v>14</v>
      </c>
      <c r="D555" s="10">
        <v>109.88</v>
      </c>
      <c r="E555" s="10">
        <v>118.38</v>
      </c>
      <c r="F555" s="10">
        <v>84.33</v>
      </c>
      <c r="G555" s="9">
        <f t="shared" si="31"/>
        <v>170.53444999999979</v>
      </c>
      <c r="H555" s="13" t="s">
        <v>456</v>
      </c>
      <c r="I555" s="12"/>
      <c r="J555" s="7">
        <f t="shared" si="34"/>
        <v>118.38</v>
      </c>
      <c r="K555">
        <f t="shared" si="32"/>
        <v>118.38</v>
      </c>
      <c r="L555" s="1"/>
      <c r="M555" s="1"/>
      <c r="N555" s="1"/>
      <c r="T555" s="1"/>
      <c r="U555" s="1"/>
      <c r="V555" s="1"/>
      <c r="W555" s="1"/>
      <c r="X555" s="1"/>
      <c r="Y555" s="1"/>
      <c r="Z555" s="1"/>
      <c r="AA555" s="1"/>
    </row>
    <row r="556" spans="1:27" ht="14" x14ac:dyDescent="0.15">
      <c r="A556" s="9">
        <v>555</v>
      </c>
      <c r="B556" s="9" t="s">
        <v>579</v>
      </c>
      <c r="C556" s="9" t="s">
        <v>14</v>
      </c>
      <c r="D556" s="10">
        <v>157.84</v>
      </c>
      <c r="E556" s="10">
        <v>166.34</v>
      </c>
      <c r="F556" s="10">
        <v>47.21</v>
      </c>
      <c r="G556" s="9">
        <f t="shared" si="31"/>
        <v>170.70078999999978</v>
      </c>
      <c r="H556" s="13" t="s">
        <v>456</v>
      </c>
      <c r="I556" s="12"/>
      <c r="J556" s="7">
        <f t="shared" si="34"/>
        <v>166.34</v>
      </c>
      <c r="K556">
        <f t="shared" si="32"/>
        <v>166.34</v>
      </c>
      <c r="L556" s="1"/>
      <c r="M556" s="1"/>
      <c r="N556" s="1"/>
      <c r="T556" s="1"/>
      <c r="U556" s="1"/>
      <c r="V556" s="1"/>
      <c r="W556" s="1"/>
      <c r="X556" s="1"/>
      <c r="Y556" s="1"/>
      <c r="Z556" s="1"/>
      <c r="AA556" s="1"/>
    </row>
    <row r="557" spans="1:27" ht="14" x14ac:dyDescent="0.15">
      <c r="A557" s="9">
        <v>556</v>
      </c>
      <c r="B557" s="12"/>
      <c r="C557" s="12"/>
      <c r="D557" s="12"/>
      <c r="E557" s="12">
        <v>0</v>
      </c>
      <c r="F557" s="12"/>
      <c r="G557" s="9">
        <f t="shared" si="31"/>
        <v>170.70078999999978</v>
      </c>
      <c r="H557" s="13" t="s">
        <v>456</v>
      </c>
      <c r="I557" s="12"/>
      <c r="K557">
        <f t="shared" si="32"/>
        <v>0</v>
      </c>
      <c r="L557" s="1"/>
      <c r="M557" s="1"/>
      <c r="N557" s="1"/>
      <c r="T557" s="1"/>
      <c r="U557" s="1"/>
      <c r="V557" s="1"/>
      <c r="W557" s="1"/>
      <c r="X557" s="1"/>
      <c r="Y557" s="1"/>
      <c r="Z557" s="1"/>
      <c r="AA557" s="1"/>
    </row>
    <row r="558" spans="1:27" ht="28" x14ac:dyDescent="0.15">
      <c r="A558" s="9">
        <v>557</v>
      </c>
      <c r="B558" s="9" t="s">
        <v>580</v>
      </c>
      <c r="C558" s="9" t="s">
        <v>14</v>
      </c>
      <c r="D558" s="10">
        <v>356.9</v>
      </c>
      <c r="E558" s="10">
        <v>365.4</v>
      </c>
      <c r="F558" s="10">
        <v>123.6</v>
      </c>
      <c r="G558" s="9">
        <f t="shared" si="31"/>
        <v>171.06618999999978</v>
      </c>
      <c r="H558" s="11" t="s">
        <v>581</v>
      </c>
      <c r="I558" s="8" t="s">
        <v>582</v>
      </c>
      <c r="J558" s="7">
        <f>D558+8.5</f>
        <v>365.4</v>
      </c>
      <c r="K558">
        <f t="shared" si="32"/>
        <v>365.4</v>
      </c>
      <c r="L558" s="1"/>
      <c r="M558" s="1"/>
      <c r="N558" s="1"/>
      <c r="T558" s="1"/>
      <c r="U558" s="1"/>
      <c r="V558" s="1"/>
      <c r="W558" s="1"/>
      <c r="X558" s="1"/>
      <c r="Y558" s="1"/>
      <c r="Z558" s="1"/>
      <c r="AA558" s="1"/>
    </row>
    <row r="559" spans="1:27" ht="14" x14ac:dyDescent="0.15">
      <c r="A559" s="9">
        <v>558</v>
      </c>
      <c r="B559" s="9" t="s">
        <v>583</v>
      </c>
      <c r="C559" s="9" t="s">
        <v>16</v>
      </c>
      <c r="D559" s="10">
        <v>258.45999999999998</v>
      </c>
      <c r="E559" s="10">
        <v>258.45999999999998</v>
      </c>
      <c r="F559" s="10">
        <v>0.44</v>
      </c>
      <c r="G559" s="9">
        <f t="shared" si="31"/>
        <v>171.32464999999979</v>
      </c>
      <c r="H559" s="11" t="s">
        <v>581</v>
      </c>
      <c r="I559" s="8"/>
      <c r="K559">
        <f t="shared" si="32"/>
        <v>258.45999999999998</v>
      </c>
      <c r="L559" s="1"/>
      <c r="M559" s="1"/>
      <c r="N559" s="1"/>
      <c r="T559" s="1"/>
      <c r="U559" s="1"/>
      <c r="V559" s="1"/>
      <c r="W559" s="1"/>
      <c r="X559" s="1"/>
      <c r="Y559" s="1"/>
      <c r="Z559" s="1"/>
      <c r="AA559" s="1"/>
    </row>
    <row r="560" spans="1:27" ht="14" x14ac:dyDescent="0.15">
      <c r="A560" s="9">
        <v>559</v>
      </c>
      <c r="B560" s="9" t="s">
        <v>584</v>
      </c>
      <c r="C560" s="9" t="s">
        <v>14</v>
      </c>
      <c r="D560" s="10">
        <v>275.47000000000003</v>
      </c>
      <c r="E560" s="10">
        <v>283.97000000000003</v>
      </c>
      <c r="F560" s="10">
        <v>64.22</v>
      </c>
      <c r="G560" s="9">
        <f t="shared" si="31"/>
        <v>171.6086199999998</v>
      </c>
      <c r="H560" s="11" t="s">
        <v>581</v>
      </c>
      <c r="I560" s="8"/>
      <c r="J560" s="7">
        <f>D560+8.5</f>
        <v>283.97000000000003</v>
      </c>
      <c r="K560">
        <f t="shared" si="32"/>
        <v>283.97000000000003</v>
      </c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 spans="1:27" ht="14" x14ac:dyDescent="0.15">
      <c r="A561" s="9">
        <v>560</v>
      </c>
      <c r="B561" s="9" t="s">
        <v>585</v>
      </c>
      <c r="C561" s="9" t="s">
        <v>23</v>
      </c>
      <c r="D561" s="10">
        <v>272.93</v>
      </c>
      <c r="E561" s="10">
        <v>272.93</v>
      </c>
      <c r="F561" s="10">
        <v>0.77</v>
      </c>
      <c r="G561" s="9">
        <f t="shared" si="31"/>
        <v>171.88154999999981</v>
      </c>
      <c r="H561" s="11" t="s">
        <v>581</v>
      </c>
      <c r="I561" s="8"/>
      <c r="K561">
        <f t="shared" si="32"/>
        <v>272.93</v>
      </c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 spans="1:27" ht="14" x14ac:dyDescent="0.15">
      <c r="A562" s="9">
        <v>561</v>
      </c>
      <c r="B562" s="9" t="s">
        <v>586</v>
      </c>
      <c r="C562" s="9" t="s">
        <v>16</v>
      </c>
      <c r="D562" s="10">
        <v>394.31</v>
      </c>
      <c r="E562" s="10">
        <v>394.31</v>
      </c>
      <c r="F562" s="10">
        <v>16.850000000000001</v>
      </c>
      <c r="G562" s="9">
        <f t="shared" si="31"/>
        <v>172.2758599999998</v>
      </c>
      <c r="H562" s="11" t="s">
        <v>581</v>
      </c>
      <c r="I562" s="8"/>
      <c r="K562">
        <f t="shared" si="32"/>
        <v>394.31</v>
      </c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 spans="1:27" ht="14" x14ac:dyDescent="0.15">
      <c r="A563" s="9">
        <v>562</v>
      </c>
      <c r="B563" s="9" t="s">
        <v>587</v>
      </c>
      <c r="C563" s="9" t="s">
        <v>23</v>
      </c>
      <c r="D563" s="10">
        <v>330.75</v>
      </c>
      <c r="E563" s="10">
        <v>330.75</v>
      </c>
      <c r="F563" s="10">
        <v>0.49</v>
      </c>
      <c r="G563" s="9">
        <f t="shared" si="31"/>
        <v>172.60660999999979</v>
      </c>
      <c r="H563" s="11" t="s">
        <v>581</v>
      </c>
      <c r="I563" s="8"/>
      <c r="K563">
        <f t="shared" si="32"/>
        <v>330.75</v>
      </c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 spans="1:27" ht="14" x14ac:dyDescent="0.15">
      <c r="A564" s="9">
        <v>563</v>
      </c>
      <c r="B564" s="9" t="s">
        <v>588</v>
      </c>
      <c r="C564" s="9" t="s">
        <v>23</v>
      </c>
      <c r="D564" s="10">
        <v>282.25</v>
      </c>
      <c r="E564" s="10">
        <v>282.25</v>
      </c>
      <c r="F564" s="10">
        <v>0.34</v>
      </c>
      <c r="G564" s="9">
        <f t="shared" si="31"/>
        <v>172.8888599999998</v>
      </c>
      <c r="H564" s="11" t="s">
        <v>581</v>
      </c>
      <c r="I564" s="8"/>
      <c r="K564">
        <f t="shared" si="32"/>
        <v>282.25</v>
      </c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 spans="1:27" ht="14" x14ac:dyDescent="0.15">
      <c r="A565" s="9">
        <v>564</v>
      </c>
      <c r="B565" s="9" t="s">
        <v>589</v>
      </c>
      <c r="C565" s="9" t="s">
        <v>19</v>
      </c>
      <c r="D565" s="10">
        <v>257.95</v>
      </c>
      <c r="E565" s="10">
        <v>266.45</v>
      </c>
      <c r="F565" s="10">
        <v>44.87</v>
      </c>
      <c r="G565" s="9">
        <f t="shared" si="31"/>
        <v>173.15530999999979</v>
      </c>
      <c r="H565" s="11" t="s">
        <v>581</v>
      </c>
      <c r="I565" s="8"/>
      <c r="J565" s="7">
        <f>D565+8.5</f>
        <v>266.45</v>
      </c>
      <c r="K565">
        <f t="shared" si="32"/>
        <v>266.45</v>
      </c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 spans="1:27" ht="14" x14ac:dyDescent="0.15">
      <c r="A566" s="9">
        <v>565</v>
      </c>
      <c r="B566" s="9" t="s">
        <v>590</v>
      </c>
      <c r="C566" s="9" t="s">
        <v>23</v>
      </c>
      <c r="D566" s="10">
        <v>319.83</v>
      </c>
      <c r="E566" s="10">
        <v>319.83</v>
      </c>
      <c r="F566" s="10">
        <v>0.99</v>
      </c>
      <c r="G566" s="9">
        <f t="shared" si="31"/>
        <v>173.47513999999978</v>
      </c>
      <c r="H566" s="11" t="s">
        <v>581</v>
      </c>
      <c r="I566" s="8"/>
      <c r="K566">
        <f t="shared" si="32"/>
        <v>319.83</v>
      </c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 spans="1:27" ht="14" x14ac:dyDescent="0.15">
      <c r="A567" s="9">
        <v>566</v>
      </c>
      <c r="B567" s="9" t="s">
        <v>591</v>
      </c>
      <c r="C567" s="9" t="s">
        <v>23</v>
      </c>
      <c r="D567" s="10">
        <v>345.12</v>
      </c>
      <c r="E567" s="10">
        <v>345.12</v>
      </c>
      <c r="F567" s="10">
        <v>0.28999999999999998</v>
      </c>
      <c r="G567" s="9">
        <f t="shared" si="31"/>
        <v>173.82025999999979</v>
      </c>
      <c r="H567" s="11" t="s">
        <v>581</v>
      </c>
      <c r="I567" s="8"/>
      <c r="K567">
        <f t="shared" si="32"/>
        <v>345.12</v>
      </c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 spans="1:27" ht="14" x14ac:dyDescent="0.15">
      <c r="A568" s="9">
        <v>567</v>
      </c>
      <c r="B568" s="9" t="s">
        <v>592</v>
      </c>
      <c r="C568" s="9" t="s">
        <v>23</v>
      </c>
      <c r="D568" s="10">
        <v>296.85000000000002</v>
      </c>
      <c r="E568" s="10">
        <v>296.85000000000002</v>
      </c>
      <c r="F568" s="10">
        <v>1.25</v>
      </c>
      <c r="G568" s="9">
        <f t="shared" si="31"/>
        <v>174.1171099999998</v>
      </c>
      <c r="H568" s="11" t="s">
        <v>581</v>
      </c>
      <c r="I568" s="8"/>
      <c r="K568">
        <f t="shared" si="32"/>
        <v>296.85000000000002</v>
      </c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 spans="1:27" ht="14" x14ac:dyDescent="0.15">
      <c r="A569" s="9">
        <v>568</v>
      </c>
      <c r="B569" s="9" t="s">
        <v>593</v>
      </c>
      <c r="C569" s="9" t="s">
        <v>23</v>
      </c>
      <c r="D569" s="10">
        <v>325.05</v>
      </c>
      <c r="E569" s="10">
        <v>325.05</v>
      </c>
      <c r="F569" s="10">
        <v>2.4</v>
      </c>
      <c r="G569" s="9">
        <f t="shared" si="31"/>
        <v>174.4421599999998</v>
      </c>
      <c r="H569" s="11" t="s">
        <v>581</v>
      </c>
      <c r="I569" s="8"/>
      <c r="K569">
        <f t="shared" si="32"/>
        <v>325.05</v>
      </c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 spans="1:27" ht="14" x14ac:dyDescent="0.15">
      <c r="A570" s="9">
        <v>569</v>
      </c>
      <c r="B570" s="9" t="s">
        <v>594</v>
      </c>
      <c r="C570" s="9" t="s">
        <v>23</v>
      </c>
      <c r="D570" s="10">
        <v>321.70999999999998</v>
      </c>
      <c r="E570" s="10">
        <v>321.70999999999998</v>
      </c>
      <c r="F570" s="10">
        <v>1.62</v>
      </c>
      <c r="G570" s="9">
        <f t="shared" si="31"/>
        <v>174.7638699999998</v>
      </c>
      <c r="H570" s="11" t="s">
        <v>581</v>
      </c>
      <c r="I570" s="8"/>
      <c r="K570">
        <f t="shared" si="32"/>
        <v>321.70999999999998</v>
      </c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 spans="1:27" ht="14" x14ac:dyDescent="0.15">
      <c r="A571" s="9">
        <v>570</v>
      </c>
      <c r="B571" s="9" t="s">
        <v>595</v>
      </c>
      <c r="C571" s="9" t="s">
        <v>28</v>
      </c>
      <c r="D571" s="10">
        <v>331.11</v>
      </c>
      <c r="E571" s="10">
        <v>339.61</v>
      </c>
      <c r="F571" s="10">
        <v>22.84</v>
      </c>
      <c r="G571" s="9">
        <f t="shared" si="31"/>
        <v>175.10347999999979</v>
      </c>
      <c r="H571" s="11" t="s">
        <v>581</v>
      </c>
      <c r="I571" s="8"/>
      <c r="J571" s="7">
        <f>D571+8.5</f>
        <v>339.61</v>
      </c>
      <c r="K571">
        <f t="shared" si="32"/>
        <v>339.61</v>
      </c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 spans="1:27" ht="14" x14ac:dyDescent="0.15">
      <c r="A572" s="9">
        <v>571</v>
      </c>
      <c r="B572" s="9" t="s">
        <v>596</v>
      </c>
      <c r="C572" s="9" t="s">
        <v>23</v>
      </c>
      <c r="D572" s="10">
        <v>342.24</v>
      </c>
      <c r="E572" s="10">
        <v>342.24</v>
      </c>
      <c r="F572" s="10">
        <v>0.26</v>
      </c>
      <c r="G572" s="9">
        <f t="shared" si="31"/>
        <v>175.4457199999998</v>
      </c>
      <c r="H572" s="11" t="s">
        <v>581</v>
      </c>
      <c r="I572" s="8"/>
      <c r="K572">
        <f t="shared" si="32"/>
        <v>342.24</v>
      </c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 spans="1:27" ht="14" x14ac:dyDescent="0.15">
      <c r="A573" s="9">
        <v>572</v>
      </c>
      <c r="B573" s="9" t="s">
        <v>597</v>
      </c>
      <c r="C573" s="9" t="s">
        <v>23</v>
      </c>
      <c r="D573" s="10">
        <v>307.72000000000003</v>
      </c>
      <c r="E573" s="10">
        <v>307.72000000000003</v>
      </c>
      <c r="F573" s="10">
        <v>1.25</v>
      </c>
      <c r="G573" s="9">
        <f t="shared" si="31"/>
        <v>175.75343999999978</v>
      </c>
      <c r="H573" s="11" t="s">
        <v>581</v>
      </c>
      <c r="I573" s="8"/>
      <c r="K573">
        <f t="shared" si="32"/>
        <v>307.72000000000003</v>
      </c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 spans="1:27" ht="14" x14ac:dyDescent="0.15">
      <c r="A574" s="9">
        <v>573</v>
      </c>
      <c r="B574" s="9" t="s">
        <v>598</v>
      </c>
      <c r="C574" s="9" t="s">
        <v>23</v>
      </c>
      <c r="D574" s="10">
        <v>365.93</v>
      </c>
      <c r="E574" s="10">
        <v>365.93</v>
      </c>
      <c r="F574" s="10">
        <v>2.84</v>
      </c>
      <c r="G574" s="9">
        <f t="shared" si="31"/>
        <v>176.11936999999978</v>
      </c>
      <c r="H574" s="11" t="s">
        <v>581</v>
      </c>
      <c r="I574" s="8"/>
      <c r="K574">
        <f t="shared" si="32"/>
        <v>365.93</v>
      </c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 spans="1:27" ht="14" x14ac:dyDescent="0.15">
      <c r="A575" s="9">
        <v>574</v>
      </c>
      <c r="B575" s="9" t="s">
        <v>599</v>
      </c>
      <c r="C575" s="9" t="s">
        <v>19</v>
      </c>
      <c r="D575" s="10">
        <v>299.20999999999998</v>
      </c>
      <c r="E575" s="10">
        <v>307.70999999999998</v>
      </c>
      <c r="F575" s="10">
        <v>0.02</v>
      </c>
      <c r="G575" s="9">
        <f t="shared" si="31"/>
        <v>176.42707999999976</v>
      </c>
      <c r="H575" s="11" t="s">
        <v>581</v>
      </c>
      <c r="I575" s="8"/>
      <c r="J575" s="7">
        <f>D575+8.5</f>
        <v>307.70999999999998</v>
      </c>
      <c r="K575">
        <f t="shared" si="32"/>
        <v>307.70999999999998</v>
      </c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 spans="1:27" ht="14" x14ac:dyDescent="0.15">
      <c r="A576" s="9">
        <v>575</v>
      </c>
      <c r="B576" s="9" t="s">
        <v>600</v>
      </c>
      <c r="C576" s="9" t="s">
        <v>16</v>
      </c>
      <c r="D576" s="10">
        <v>329.5</v>
      </c>
      <c r="E576" s="10">
        <v>329.5</v>
      </c>
      <c r="F576" s="10">
        <v>3.03</v>
      </c>
      <c r="G576" s="9">
        <f t="shared" si="31"/>
        <v>176.75657999999976</v>
      </c>
      <c r="H576" s="11" t="s">
        <v>581</v>
      </c>
      <c r="I576" s="8"/>
      <c r="K576">
        <f t="shared" si="32"/>
        <v>329.5</v>
      </c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 spans="1:27" ht="14" x14ac:dyDescent="0.15">
      <c r="A577" s="9">
        <v>576</v>
      </c>
      <c r="B577" s="9" t="s">
        <v>601</v>
      </c>
      <c r="C577" s="9" t="s">
        <v>19</v>
      </c>
      <c r="D577" s="10">
        <v>324.62</v>
      </c>
      <c r="E577" s="10">
        <v>333.12</v>
      </c>
      <c r="F577" s="10">
        <v>3.61</v>
      </c>
      <c r="G577" s="9">
        <f t="shared" si="31"/>
        <v>177.08969999999977</v>
      </c>
      <c r="H577" s="11" t="s">
        <v>581</v>
      </c>
      <c r="I577" s="8"/>
      <c r="J577" s="7">
        <f t="shared" ref="J577:J578" si="35">D577+8.5</f>
        <v>333.12</v>
      </c>
      <c r="K577">
        <f t="shared" si="32"/>
        <v>333.12</v>
      </c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 spans="1:27" ht="14" x14ac:dyDescent="0.15">
      <c r="A578" s="9">
        <v>577</v>
      </c>
      <c r="B578" s="9" t="s">
        <v>602</v>
      </c>
      <c r="C578" s="9" t="s">
        <v>14</v>
      </c>
      <c r="D578" s="10">
        <v>354.73</v>
      </c>
      <c r="E578" s="10">
        <v>363.23</v>
      </c>
      <c r="F578" s="10">
        <v>86.11</v>
      </c>
      <c r="G578" s="9">
        <f t="shared" si="31"/>
        <v>177.45292999999975</v>
      </c>
      <c r="H578" s="11" t="s">
        <v>581</v>
      </c>
      <c r="I578" s="8"/>
      <c r="J578" s="7">
        <f t="shared" si="35"/>
        <v>363.23</v>
      </c>
      <c r="K578">
        <f t="shared" si="32"/>
        <v>363.23</v>
      </c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 spans="1:27" ht="14" x14ac:dyDescent="0.15">
      <c r="A579" s="9">
        <v>578</v>
      </c>
      <c r="B579" s="9" t="s">
        <v>603</v>
      </c>
      <c r="C579" s="9" t="s">
        <v>23</v>
      </c>
      <c r="D579" s="10">
        <v>345.82</v>
      </c>
      <c r="E579" s="10">
        <v>345.82</v>
      </c>
      <c r="F579" s="10">
        <v>2.0099999999999998</v>
      </c>
      <c r="G579" s="9">
        <f t="shared" si="31"/>
        <v>177.79874999999976</v>
      </c>
      <c r="H579" s="11" t="s">
        <v>581</v>
      </c>
      <c r="I579" s="8"/>
      <c r="K579">
        <f t="shared" si="32"/>
        <v>345.82</v>
      </c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 spans="1:27" ht="14" x14ac:dyDescent="0.15">
      <c r="A580" s="9">
        <v>579</v>
      </c>
      <c r="B580" s="9" t="s">
        <v>604</v>
      </c>
      <c r="C580" s="9" t="s">
        <v>23</v>
      </c>
      <c r="D580" s="10">
        <v>352.78</v>
      </c>
      <c r="E580" s="10">
        <v>352.78</v>
      </c>
      <c r="F580" s="10">
        <v>1.47</v>
      </c>
      <c r="G580" s="9">
        <f t="shared" ref="G580:G643" si="36">E580/1000+G579</f>
        <v>178.15152999999975</v>
      </c>
      <c r="H580" s="11" t="s">
        <v>581</v>
      </c>
      <c r="I580" s="8"/>
      <c r="K580">
        <f t="shared" ref="K580:K643" si="37">IF(J580&lt;&gt;"",J580,D580)</f>
        <v>352.78</v>
      </c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 spans="1:27" ht="14" x14ac:dyDescent="0.15">
      <c r="A581" s="9">
        <v>580</v>
      </c>
      <c r="B581" s="9" t="s">
        <v>605</v>
      </c>
      <c r="C581" s="9" t="s">
        <v>23</v>
      </c>
      <c r="D581" s="10">
        <v>283.54000000000002</v>
      </c>
      <c r="E581" s="10">
        <v>283.54000000000002</v>
      </c>
      <c r="F581" s="10">
        <v>0.71</v>
      </c>
      <c r="G581" s="9">
        <f t="shared" si="36"/>
        <v>178.43506999999974</v>
      </c>
      <c r="H581" s="11" t="s">
        <v>581</v>
      </c>
      <c r="I581" s="8"/>
      <c r="K581">
        <f t="shared" si="37"/>
        <v>283.54000000000002</v>
      </c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 spans="1:27" ht="14" x14ac:dyDescent="0.15">
      <c r="A582" s="9">
        <v>581</v>
      </c>
      <c r="B582" s="9" t="s">
        <v>606</v>
      </c>
      <c r="C582" s="9" t="s">
        <v>23</v>
      </c>
      <c r="D582" s="10">
        <v>351.36</v>
      </c>
      <c r="E582" s="10">
        <v>351.36</v>
      </c>
      <c r="F582" s="10">
        <v>0.49</v>
      </c>
      <c r="G582" s="9">
        <f t="shared" si="36"/>
        <v>178.78642999999974</v>
      </c>
      <c r="H582" s="11" t="s">
        <v>581</v>
      </c>
      <c r="I582" s="8"/>
      <c r="K582">
        <f t="shared" si="37"/>
        <v>351.36</v>
      </c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 spans="1:27" ht="14" x14ac:dyDescent="0.15">
      <c r="A583" s="9">
        <v>582</v>
      </c>
      <c r="B583" s="9" t="s">
        <v>607</v>
      </c>
      <c r="C583" s="9" t="s">
        <v>23</v>
      </c>
      <c r="D583" s="10">
        <v>295.87</v>
      </c>
      <c r="E583" s="10">
        <v>295.87</v>
      </c>
      <c r="F583" s="10">
        <v>0.84</v>
      </c>
      <c r="G583" s="9">
        <f t="shared" si="36"/>
        <v>179.08229999999975</v>
      </c>
      <c r="H583" s="11" t="s">
        <v>581</v>
      </c>
      <c r="I583" s="8"/>
      <c r="K583">
        <f t="shared" si="37"/>
        <v>295.87</v>
      </c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 spans="1:27" ht="14" x14ac:dyDescent="0.15">
      <c r="A584" s="9">
        <v>583</v>
      </c>
      <c r="B584" s="9" t="s">
        <v>608</v>
      </c>
      <c r="C584" s="9" t="s">
        <v>23</v>
      </c>
      <c r="D584" s="10">
        <v>308.39999999999998</v>
      </c>
      <c r="E584" s="10">
        <v>308.39999999999998</v>
      </c>
      <c r="F584" s="10">
        <v>1.98</v>
      </c>
      <c r="G584" s="9">
        <f t="shared" si="36"/>
        <v>179.39069999999975</v>
      </c>
      <c r="H584" s="11" t="s">
        <v>581</v>
      </c>
      <c r="I584" s="8"/>
      <c r="K584">
        <f t="shared" si="37"/>
        <v>308.39999999999998</v>
      </c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 spans="1:27" ht="14" x14ac:dyDescent="0.15">
      <c r="A585" s="9">
        <v>584</v>
      </c>
      <c r="B585" s="9" t="s">
        <v>609</v>
      </c>
      <c r="C585" s="9" t="s">
        <v>16</v>
      </c>
      <c r="D585" s="10">
        <v>305.64</v>
      </c>
      <c r="E585" s="10">
        <v>305.64</v>
      </c>
      <c r="F585" s="10">
        <v>1.7</v>
      </c>
      <c r="G585" s="9">
        <f t="shared" si="36"/>
        <v>179.69633999999976</v>
      </c>
      <c r="H585" s="11" t="s">
        <v>581</v>
      </c>
      <c r="I585" s="8"/>
      <c r="K585">
        <f t="shared" si="37"/>
        <v>305.64</v>
      </c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 spans="1:27" ht="14" x14ac:dyDescent="0.15">
      <c r="A586" s="9">
        <v>585</v>
      </c>
      <c r="B586" s="9" t="s">
        <v>610</v>
      </c>
      <c r="C586" s="9" t="s">
        <v>28</v>
      </c>
      <c r="D586" s="10">
        <v>262.62</v>
      </c>
      <c r="E586" s="10">
        <v>271.12</v>
      </c>
      <c r="F586" s="10">
        <v>17.38</v>
      </c>
      <c r="G586" s="9">
        <f t="shared" si="36"/>
        <v>179.96745999999976</v>
      </c>
      <c r="H586" s="11" t="s">
        <v>581</v>
      </c>
      <c r="I586" s="8"/>
      <c r="J586" s="7">
        <f>D586+8.5</f>
        <v>271.12</v>
      </c>
      <c r="K586">
        <f t="shared" si="37"/>
        <v>271.12</v>
      </c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 spans="1:27" ht="14" x14ac:dyDescent="0.15">
      <c r="A587" s="9">
        <v>586</v>
      </c>
      <c r="B587" s="9" t="s">
        <v>611</v>
      </c>
      <c r="C587" s="9" t="s">
        <v>16</v>
      </c>
      <c r="D587" s="10">
        <v>300.49</v>
      </c>
      <c r="E587" s="10">
        <v>300.49</v>
      </c>
      <c r="F587" s="10">
        <v>6.18</v>
      </c>
      <c r="G587" s="9">
        <f t="shared" si="36"/>
        <v>180.26794999999976</v>
      </c>
      <c r="H587" s="11" t="s">
        <v>581</v>
      </c>
      <c r="I587" s="8"/>
      <c r="K587">
        <f t="shared" si="37"/>
        <v>300.49</v>
      </c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 spans="1:27" ht="14" x14ac:dyDescent="0.15">
      <c r="A588" s="9">
        <v>587</v>
      </c>
      <c r="B588" s="9" t="s">
        <v>612</v>
      </c>
      <c r="C588" s="9" t="s">
        <v>28</v>
      </c>
      <c r="D588" s="10">
        <v>170.71</v>
      </c>
      <c r="E588" s="10">
        <v>179.21</v>
      </c>
      <c r="F588" s="10">
        <v>14.91</v>
      </c>
      <c r="G588" s="9">
        <f t="shared" si="36"/>
        <v>180.44715999999977</v>
      </c>
      <c r="H588" s="11" t="s">
        <v>581</v>
      </c>
      <c r="I588" s="8"/>
      <c r="J588" s="7">
        <f t="shared" ref="J588:J592" si="38">D588+8.5</f>
        <v>179.21</v>
      </c>
      <c r="K588">
        <f t="shared" si="37"/>
        <v>179.21</v>
      </c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 spans="1:27" ht="14" x14ac:dyDescent="0.15">
      <c r="A589" s="9">
        <v>588</v>
      </c>
      <c r="B589" s="9" t="s">
        <v>613</v>
      </c>
      <c r="C589" s="9" t="s">
        <v>19</v>
      </c>
      <c r="D589" s="10">
        <v>130.81</v>
      </c>
      <c r="E589" s="10">
        <v>139.31</v>
      </c>
      <c r="F589" s="10">
        <v>41.23</v>
      </c>
      <c r="G589" s="9">
        <f t="shared" si="36"/>
        <v>180.58646999999976</v>
      </c>
      <c r="H589" s="11" t="s">
        <v>581</v>
      </c>
      <c r="I589" s="8"/>
      <c r="J589" s="7">
        <f t="shared" si="38"/>
        <v>139.31</v>
      </c>
      <c r="K589">
        <f t="shared" si="37"/>
        <v>139.31</v>
      </c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 spans="1:27" ht="14" x14ac:dyDescent="0.15">
      <c r="A590" s="9">
        <v>589</v>
      </c>
      <c r="B590" s="9" t="s">
        <v>614</v>
      </c>
      <c r="C590" s="9" t="s">
        <v>19</v>
      </c>
      <c r="D590" s="10">
        <v>296.61</v>
      </c>
      <c r="E590" s="10">
        <v>305.11</v>
      </c>
      <c r="F590" s="10">
        <v>49.61</v>
      </c>
      <c r="G590" s="9">
        <f t="shared" si="36"/>
        <v>180.89157999999978</v>
      </c>
      <c r="H590" s="11" t="s">
        <v>581</v>
      </c>
      <c r="I590" s="8"/>
      <c r="J590" s="7">
        <f t="shared" si="38"/>
        <v>305.11</v>
      </c>
      <c r="K590">
        <f t="shared" si="37"/>
        <v>305.11</v>
      </c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 spans="1:27" ht="14" x14ac:dyDescent="0.15">
      <c r="A591" s="9">
        <v>590</v>
      </c>
      <c r="B591" s="9" t="s">
        <v>615</v>
      </c>
      <c r="C591" s="9" t="s">
        <v>19</v>
      </c>
      <c r="D591" s="10">
        <v>184.96</v>
      </c>
      <c r="E591" s="10">
        <v>193.46</v>
      </c>
      <c r="F591" s="10">
        <v>16.46</v>
      </c>
      <c r="G591" s="9">
        <f t="shared" si="36"/>
        <v>181.08503999999976</v>
      </c>
      <c r="H591" s="11" t="s">
        <v>581</v>
      </c>
      <c r="I591" s="8"/>
      <c r="J591" s="7">
        <f t="shared" si="38"/>
        <v>193.46</v>
      </c>
      <c r="K591">
        <f t="shared" si="37"/>
        <v>193.46</v>
      </c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 spans="1:27" ht="14" x14ac:dyDescent="0.15">
      <c r="A592" s="9">
        <v>591</v>
      </c>
      <c r="B592" s="9" t="s">
        <v>616</v>
      </c>
      <c r="C592" s="9" t="s">
        <v>19</v>
      </c>
      <c r="D592" s="10">
        <v>189.21</v>
      </c>
      <c r="E592" s="10">
        <v>197.71</v>
      </c>
      <c r="F592" s="10">
        <v>3.26</v>
      </c>
      <c r="G592" s="9">
        <f t="shared" si="36"/>
        <v>181.28274999999977</v>
      </c>
      <c r="H592" s="11" t="s">
        <v>581</v>
      </c>
      <c r="I592" s="8"/>
      <c r="J592" s="7">
        <f t="shared" si="38"/>
        <v>197.71</v>
      </c>
      <c r="K592">
        <f t="shared" si="37"/>
        <v>197.71</v>
      </c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 spans="1:27" ht="14" x14ac:dyDescent="0.15">
      <c r="A593" s="9">
        <v>592</v>
      </c>
      <c r="B593" s="9" t="s">
        <v>617</v>
      </c>
      <c r="C593" s="9" t="s">
        <v>16</v>
      </c>
      <c r="D593" s="10">
        <v>254.31</v>
      </c>
      <c r="E593" s="10">
        <v>254.31</v>
      </c>
      <c r="F593" s="10">
        <v>2.58</v>
      </c>
      <c r="G593" s="9">
        <f t="shared" si="36"/>
        <v>181.53705999999977</v>
      </c>
      <c r="H593" s="11" t="s">
        <v>581</v>
      </c>
      <c r="I593" s="8"/>
      <c r="K593">
        <f t="shared" si="37"/>
        <v>254.31</v>
      </c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 spans="1:27" ht="14" x14ac:dyDescent="0.15">
      <c r="A594" s="9">
        <v>593</v>
      </c>
      <c r="B594" s="9" t="s">
        <v>618</v>
      </c>
      <c r="C594" s="9" t="s">
        <v>19</v>
      </c>
      <c r="D594" s="10">
        <v>315.41000000000003</v>
      </c>
      <c r="E594" s="10">
        <v>323.91000000000003</v>
      </c>
      <c r="F594" s="10">
        <v>34.21</v>
      </c>
      <c r="G594" s="9">
        <f t="shared" si="36"/>
        <v>181.86096999999978</v>
      </c>
      <c r="H594" s="11" t="s">
        <v>581</v>
      </c>
      <c r="I594" s="8"/>
      <c r="J594" s="7">
        <f>D594+8.5</f>
        <v>323.91000000000003</v>
      </c>
      <c r="K594">
        <f t="shared" si="37"/>
        <v>323.91000000000003</v>
      </c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 spans="1:27" ht="14" x14ac:dyDescent="0.15">
      <c r="A595" s="9">
        <v>594</v>
      </c>
      <c r="B595" s="9" t="s">
        <v>619</v>
      </c>
      <c r="C595" s="9" t="s">
        <v>23</v>
      </c>
      <c r="D595" s="10">
        <v>365.23</v>
      </c>
      <c r="E595" s="10">
        <v>365.23</v>
      </c>
      <c r="F595" s="10">
        <v>0.45</v>
      </c>
      <c r="G595" s="9">
        <f t="shared" si="36"/>
        <v>182.22619999999978</v>
      </c>
      <c r="H595" s="11" t="s">
        <v>581</v>
      </c>
      <c r="I595" s="8"/>
      <c r="K595">
        <f t="shared" si="37"/>
        <v>365.23</v>
      </c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 spans="1:27" ht="14" x14ac:dyDescent="0.15">
      <c r="A596" s="9">
        <v>595</v>
      </c>
      <c r="B596" s="9" t="s">
        <v>620</v>
      </c>
      <c r="C596" s="9" t="s">
        <v>23</v>
      </c>
      <c r="D596" s="10">
        <v>368.79</v>
      </c>
      <c r="E596" s="10">
        <v>368.79</v>
      </c>
      <c r="F596" s="10">
        <v>1.41</v>
      </c>
      <c r="G596" s="9">
        <f t="shared" si="36"/>
        <v>182.59498999999977</v>
      </c>
      <c r="H596" s="11" t="s">
        <v>581</v>
      </c>
      <c r="I596" s="8"/>
      <c r="K596">
        <f t="shared" si="37"/>
        <v>368.79</v>
      </c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 spans="1:27" ht="14" x14ac:dyDescent="0.15">
      <c r="A597" s="9">
        <v>596</v>
      </c>
      <c r="B597" s="9" t="s">
        <v>621</v>
      </c>
      <c r="C597" s="9" t="s">
        <v>23</v>
      </c>
      <c r="D597" s="10">
        <v>324.29000000000002</v>
      </c>
      <c r="E597" s="10">
        <v>324.29000000000002</v>
      </c>
      <c r="F597" s="10">
        <v>0.19</v>
      </c>
      <c r="G597" s="9">
        <f t="shared" si="36"/>
        <v>182.91927999999976</v>
      </c>
      <c r="H597" s="11" t="s">
        <v>581</v>
      </c>
      <c r="I597" s="8"/>
      <c r="K597">
        <f t="shared" si="37"/>
        <v>324.29000000000002</v>
      </c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 spans="1:27" ht="14" x14ac:dyDescent="0.15">
      <c r="A598" s="9">
        <v>597</v>
      </c>
      <c r="B598" s="9" t="s">
        <v>622</v>
      </c>
      <c r="C598" s="9" t="s">
        <v>23</v>
      </c>
      <c r="D598" s="10">
        <v>362.76</v>
      </c>
      <c r="E598" s="10">
        <v>362.76</v>
      </c>
      <c r="F598" s="10">
        <v>0.47</v>
      </c>
      <c r="G598" s="9">
        <f t="shared" si="36"/>
        <v>183.28203999999977</v>
      </c>
      <c r="H598" s="11" t="s">
        <v>581</v>
      </c>
      <c r="I598" s="8"/>
      <c r="K598">
        <f t="shared" si="37"/>
        <v>362.76</v>
      </c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 spans="1:27" ht="14" x14ac:dyDescent="0.15">
      <c r="A599" s="9">
        <v>598</v>
      </c>
      <c r="B599" s="9" t="s">
        <v>623</v>
      </c>
      <c r="C599" s="9" t="s">
        <v>23</v>
      </c>
      <c r="D599" s="10">
        <v>352.34</v>
      </c>
      <c r="E599" s="10">
        <v>352.34</v>
      </c>
      <c r="F599" s="10">
        <v>0.1</v>
      </c>
      <c r="G599" s="9">
        <f t="shared" si="36"/>
        <v>183.63437999999977</v>
      </c>
      <c r="H599" s="11" t="s">
        <v>581</v>
      </c>
      <c r="I599" s="8"/>
      <c r="K599">
        <f t="shared" si="37"/>
        <v>352.34</v>
      </c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 spans="1:27" ht="14" x14ac:dyDescent="0.15">
      <c r="A600" s="9">
        <v>599</v>
      </c>
      <c r="B600" s="9" t="s">
        <v>624</v>
      </c>
      <c r="C600" s="9" t="s">
        <v>16</v>
      </c>
      <c r="D600" s="10">
        <v>348.21</v>
      </c>
      <c r="E600" s="10">
        <v>348.21</v>
      </c>
      <c r="F600" s="10">
        <v>0.67</v>
      </c>
      <c r="G600" s="9">
        <f t="shared" si="36"/>
        <v>183.98258999999976</v>
      </c>
      <c r="H600" s="11" t="s">
        <v>581</v>
      </c>
      <c r="I600" s="8"/>
      <c r="K600">
        <f t="shared" si="37"/>
        <v>348.21</v>
      </c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 spans="1:27" ht="14" x14ac:dyDescent="0.15">
      <c r="A601" s="9">
        <v>600</v>
      </c>
      <c r="B601" s="9" t="s">
        <v>625</v>
      </c>
      <c r="C601" s="9" t="s">
        <v>23</v>
      </c>
      <c r="D601" s="10">
        <v>237.12</v>
      </c>
      <c r="E601" s="10">
        <v>237.12</v>
      </c>
      <c r="F601" s="10">
        <v>2.1800000000000002</v>
      </c>
      <c r="G601" s="9">
        <f t="shared" si="36"/>
        <v>184.21970999999976</v>
      </c>
      <c r="H601" s="11" t="s">
        <v>581</v>
      </c>
      <c r="I601" s="8"/>
      <c r="K601">
        <f t="shared" si="37"/>
        <v>237.12</v>
      </c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 spans="1:27" ht="14" x14ac:dyDescent="0.15">
      <c r="A602" s="9">
        <v>601</v>
      </c>
      <c r="B602" s="9" t="s">
        <v>626</v>
      </c>
      <c r="C602" s="9" t="s">
        <v>23</v>
      </c>
      <c r="D602" s="10">
        <v>334.98</v>
      </c>
      <c r="E602" s="10">
        <v>334.98</v>
      </c>
      <c r="F602" s="10">
        <v>1.24</v>
      </c>
      <c r="G602" s="9">
        <f t="shared" si="36"/>
        <v>184.55468999999977</v>
      </c>
      <c r="H602" s="11" t="s">
        <v>581</v>
      </c>
      <c r="I602" s="8"/>
      <c r="K602">
        <f t="shared" si="37"/>
        <v>334.98</v>
      </c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 spans="1:27" ht="14" x14ac:dyDescent="0.15">
      <c r="A603" s="9">
        <v>602</v>
      </c>
      <c r="B603" s="9" t="s">
        <v>627</v>
      </c>
      <c r="C603" s="9" t="s">
        <v>23</v>
      </c>
      <c r="D603" s="10">
        <v>349.78</v>
      </c>
      <c r="E603" s="10">
        <v>349.78</v>
      </c>
      <c r="F603" s="10">
        <v>0.12</v>
      </c>
      <c r="G603" s="9">
        <f t="shared" si="36"/>
        <v>184.90446999999978</v>
      </c>
      <c r="H603" s="11" t="s">
        <v>581</v>
      </c>
      <c r="I603" s="8"/>
      <c r="K603">
        <f t="shared" si="37"/>
        <v>349.78</v>
      </c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 spans="1:27" ht="14" x14ac:dyDescent="0.15">
      <c r="A604" s="9">
        <v>603</v>
      </c>
      <c r="B604" s="9" t="s">
        <v>628</v>
      </c>
      <c r="C604" s="9" t="s">
        <v>16</v>
      </c>
      <c r="D604" s="10">
        <v>292.31</v>
      </c>
      <c r="E604" s="10">
        <v>292.31</v>
      </c>
      <c r="F604" s="10">
        <v>8.35</v>
      </c>
      <c r="G604" s="9">
        <f t="shared" si="36"/>
        <v>185.19677999999976</v>
      </c>
      <c r="H604" s="11" t="s">
        <v>581</v>
      </c>
      <c r="I604" s="8"/>
      <c r="K604">
        <f t="shared" si="37"/>
        <v>292.31</v>
      </c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 spans="1:27" ht="14" x14ac:dyDescent="0.15">
      <c r="A605" s="9">
        <v>604</v>
      </c>
      <c r="B605" s="9" t="s">
        <v>629</v>
      </c>
      <c r="C605" s="9" t="s">
        <v>23</v>
      </c>
      <c r="D605" s="10">
        <v>319.88</v>
      </c>
      <c r="E605" s="10">
        <v>319.88</v>
      </c>
      <c r="F605" s="10">
        <v>0.4</v>
      </c>
      <c r="G605" s="9">
        <f t="shared" si="36"/>
        <v>185.51665999999977</v>
      </c>
      <c r="H605" s="11" t="s">
        <v>581</v>
      </c>
      <c r="I605" s="8"/>
      <c r="K605">
        <f t="shared" si="37"/>
        <v>319.88</v>
      </c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 spans="1:27" ht="14" x14ac:dyDescent="0.15">
      <c r="A606" s="9">
        <v>605</v>
      </c>
      <c r="B606" s="9" t="s">
        <v>630</v>
      </c>
      <c r="C606" s="9" t="s">
        <v>23</v>
      </c>
      <c r="D606" s="10">
        <v>303.29000000000002</v>
      </c>
      <c r="E606" s="10">
        <v>303.29000000000002</v>
      </c>
      <c r="F606" s="10">
        <v>0.3</v>
      </c>
      <c r="G606" s="9">
        <f t="shared" si="36"/>
        <v>185.81994999999978</v>
      </c>
      <c r="H606" s="11" t="s">
        <v>581</v>
      </c>
      <c r="I606" s="8"/>
      <c r="K606">
        <f t="shared" si="37"/>
        <v>303.29000000000002</v>
      </c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 spans="1:27" ht="14" x14ac:dyDescent="0.15">
      <c r="A607" s="9">
        <v>606</v>
      </c>
      <c r="B607" s="9" t="s">
        <v>631</v>
      </c>
      <c r="C607" s="9" t="s">
        <v>14</v>
      </c>
      <c r="D607" s="10">
        <v>43.73</v>
      </c>
      <c r="E607" s="10">
        <v>52.23</v>
      </c>
      <c r="F607" s="10">
        <v>34.97</v>
      </c>
      <c r="G607" s="9">
        <f t="shared" si="36"/>
        <v>185.87217999999979</v>
      </c>
      <c r="H607" s="11" t="s">
        <v>581</v>
      </c>
      <c r="I607" s="8"/>
      <c r="J607" s="7">
        <f>D607+8.5</f>
        <v>52.23</v>
      </c>
      <c r="K607">
        <f t="shared" si="37"/>
        <v>52.23</v>
      </c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 spans="1:27" ht="14" x14ac:dyDescent="0.15">
      <c r="A608" s="9">
        <v>607</v>
      </c>
      <c r="B608" s="9" t="s">
        <v>632</v>
      </c>
      <c r="C608" s="9" t="s">
        <v>10</v>
      </c>
      <c r="D608" s="10">
        <v>72.48</v>
      </c>
      <c r="E608" s="10">
        <v>72.48</v>
      </c>
      <c r="F608" s="10">
        <v>11.11</v>
      </c>
      <c r="G608" s="9">
        <f t="shared" si="36"/>
        <v>185.9446599999998</v>
      </c>
      <c r="H608" s="11" t="s">
        <v>581</v>
      </c>
      <c r="I608" s="8"/>
      <c r="K608">
        <f t="shared" si="37"/>
        <v>72.48</v>
      </c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 spans="1:27" ht="14" x14ac:dyDescent="0.15">
      <c r="A609" s="9">
        <v>608</v>
      </c>
      <c r="B609" s="9" t="s">
        <v>633</v>
      </c>
      <c r="C609" s="9" t="s">
        <v>10</v>
      </c>
      <c r="D609" s="10">
        <v>38.86</v>
      </c>
      <c r="E609" s="10">
        <v>38.86</v>
      </c>
      <c r="F609" s="10">
        <v>18.190000000000001</v>
      </c>
      <c r="G609" s="9">
        <f t="shared" si="36"/>
        <v>185.9835199999998</v>
      </c>
      <c r="H609" s="11" t="s">
        <v>581</v>
      </c>
      <c r="I609" s="8"/>
      <c r="K609">
        <f t="shared" si="37"/>
        <v>38.86</v>
      </c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 spans="1:27" ht="14" x14ac:dyDescent="0.15">
      <c r="A610" s="9">
        <v>609</v>
      </c>
      <c r="B610" s="9" t="s">
        <v>634</v>
      </c>
      <c r="C610" s="9" t="s">
        <v>19</v>
      </c>
      <c r="D610" s="10">
        <v>199.53</v>
      </c>
      <c r="E610" s="10">
        <v>208.03</v>
      </c>
      <c r="F610" s="10">
        <v>51.92</v>
      </c>
      <c r="G610" s="9">
        <f t="shared" si="36"/>
        <v>186.19154999999981</v>
      </c>
      <c r="H610" s="11" t="s">
        <v>581</v>
      </c>
      <c r="I610" s="8"/>
      <c r="J610" s="7">
        <f>D610+8.5</f>
        <v>208.03</v>
      </c>
      <c r="K610">
        <f t="shared" si="37"/>
        <v>208.03</v>
      </c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 spans="1:27" ht="14" x14ac:dyDescent="0.15">
      <c r="A611" s="9">
        <v>610</v>
      </c>
      <c r="B611" s="9" t="s">
        <v>635</v>
      </c>
      <c r="C611" s="9" t="s">
        <v>16</v>
      </c>
      <c r="D611" s="10">
        <v>303.35000000000002</v>
      </c>
      <c r="E611" s="10">
        <v>303.35000000000002</v>
      </c>
      <c r="F611" s="10">
        <v>10.02</v>
      </c>
      <c r="G611" s="9">
        <f t="shared" si="36"/>
        <v>186.4948999999998</v>
      </c>
      <c r="H611" s="11" t="s">
        <v>581</v>
      </c>
      <c r="I611" s="8"/>
      <c r="K611">
        <f t="shared" si="37"/>
        <v>303.35000000000002</v>
      </c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 spans="1:27" ht="14" x14ac:dyDescent="0.15">
      <c r="A612" s="9">
        <v>611</v>
      </c>
      <c r="B612" s="9" t="s">
        <v>636</v>
      </c>
      <c r="C612" s="9" t="s">
        <v>28</v>
      </c>
      <c r="D612" s="10">
        <v>269.76</v>
      </c>
      <c r="E612" s="10">
        <v>278.26</v>
      </c>
      <c r="F612" s="10">
        <v>21.39</v>
      </c>
      <c r="G612" s="9">
        <f t="shared" si="36"/>
        <v>186.77315999999979</v>
      </c>
      <c r="H612" s="11" t="s">
        <v>581</v>
      </c>
      <c r="I612" s="8"/>
      <c r="J612" s="7">
        <f>D612+8.5</f>
        <v>278.26</v>
      </c>
      <c r="K612">
        <f t="shared" si="37"/>
        <v>278.26</v>
      </c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 spans="1:27" ht="14" x14ac:dyDescent="0.15">
      <c r="A613" s="9">
        <v>612</v>
      </c>
      <c r="B613" s="9" t="s">
        <v>637</v>
      </c>
      <c r="C613" s="9" t="s">
        <v>23</v>
      </c>
      <c r="D613" s="10">
        <v>243.5</v>
      </c>
      <c r="E613" s="10">
        <v>243.5</v>
      </c>
      <c r="F613" s="10">
        <v>0.11</v>
      </c>
      <c r="G613" s="9">
        <f t="shared" si="36"/>
        <v>187.0166599999998</v>
      </c>
      <c r="H613" s="11" t="s">
        <v>581</v>
      </c>
      <c r="I613" s="8"/>
      <c r="K613">
        <f t="shared" si="37"/>
        <v>243.5</v>
      </c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 spans="1:27" ht="14" x14ac:dyDescent="0.15">
      <c r="A614" s="9">
        <v>613</v>
      </c>
      <c r="B614" s="9" t="s">
        <v>638</v>
      </c>
      <c r="C614" s="9" t="s">
        <v>23</v>
      </c>
      <c r="D614" s="10">
        <v>247.16</v>
      </c>
      <c r="E614" s="10">
        <v>247.16</v>
      </c>
      <c r="F614" s="10">
        <v>1.6</v>
      </c>
      <c r="G614" s="9">
        <f t="shared" si="36"/>
        <v>187.26381999999981</v>
      </c>
      <c r="H614" s="11" t="s">
        <v>581</v>
      </c>
      <c r="I614" s="8"/>
      <c r="K614">
        <f t="shared" si="37"/>
        <v>247.16</v>
      </c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 spans="1:27" ht="14" x14ac:dyDescent="0.15">
      <c r="A615" s="9">
        <v>614</v>
      </c>
      <c r="B615" s="9" t="s">
        <v>639</v>
      </c>
      <c r="C615" s="9" t="s">
        <v>19</v>
      </c>
      <c r="D615" s="10">
        <v>242.82</v>
      </c>
      <c r="E615" s="10">
        <v>251.32</v>
      </c>
      <c r="F615" s="10">
        <v>31</v>
      </c>
      <c r="G615" s="9">
        <f t="shared" si="36"/>
        <v>187.5151399999998</v>
      </c>
      <c r="H615" s="11" t="s">
        <v>581</v>
      </c>
      <c r="I615" s="8"/>
      <c r="J615" s="7">
        <f>D615+8.5</f>
        <v>251.32</v>
      </c>
      <c r="K615">
        <f t="shared" si="37"/>
        <v>251.32</v>
      </c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 spans="1:27" ht="14" x14ac:dyDescent="0.15">
      <c r="A616" s="9">
        <v>615</v>
      </c>
      <c r="B616" s="9" t="s">
        <v>640</v>
      </c>
      <c r="C616" s="9" t="s">
        <v>23</v>
      </c>
      <c r="D616" s="10">
        <v>337.95</v>
      </c>
      <c r="E616" s="10">
        <v>337.95</v>
      </c>
      <c r="F616" s="10">
        <v>1.52</v>
      </c>
      <c r="G616" s="9">
        <f t="shared" si="36"/>
        <v>187.85308999999981</v>
      </c>
      <c r="H616" s="11" t="s">
        <v>581</v>
      </c>
      <c r="I616" s="8"/>
      <c r="K616">
        <f t="shared" si="37"/>
        <v>337.95</v>
      </c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 spans="1:27" ht="14" x14ac:dyDescent="0.15">
      <c r="A617" s="9">
        <v>616</v>
      </c>
      <c r="B617" s="9" t="s">
        <v>641</v>
      </c>
      <c r="C617" s="9" t="s">
        <v>23</v>
      </c>
      <c r="D617" s="10">
        <v>322.63</v>
      </c>
      <c r="E617" s="10">
        <v>322.63</v>
      </c>
      <c r="F617" s="10">
        <v>0.33</v>
      </c>
      <c r="G617" s="9">
        <f t="shared" si="36"/>
        <v>188.17571999999981</v>
      </c>
      <c r="H617" s="11" t="s">
        <v>581</v>
      </c>
      <c r="I617" s="8"/>
      <c r="K617">
        <f t="shared" si="37"/>
        <v>322.63</v>
      </c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 spans="1:27" ht="14" x14ac:dyDescent="0.15">
      <c r="A618" s="9">
        <v>617</v>
      </c>
      <c r="B618" s="9" t="s">
        <v>642</v>
      </c>
      <c r="C618" s="9" t="s">
        <v>19</v>
      </c>
      <c r="D618" s="10">
        <v>332.61</v>
      </c>
      <c r="E618" s="10">
        <v>341.11</v>
      </c>
      <c r="F618" s="10">
        <v>53.78</v>
      </c>
      <c r="G618" s="9">
        <f t="shared" si="36"/>
        <v>188.5168299999998</v>
      </c>
      <c r="H618" s="11" t="s">
        <v>581</v>
      </c>
      <c r="I618" s="8"/>
      <c r="J618" s="7">
        <f>D618+8.5</f>
        <v>341.11</v>
      </c>
      <c r="K618">
        <f t="shared" si="37"/>
        <v>341.11</v>
      </c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 spans="1:27" ht="14" x14ac:dyDescent="0.15">
      <c r="A619" s="9">
        <v>618</v>
      </c>
      <c r="B619" s="9" t="s">
        <v>643</v>
      </c>
      <c r="C619" s="9" t="s">
        <v>23</v>
      </c>
      <c r="D619" s="10">
        <v>361.96</v>
      </c>
      <c r="E619" s="10">
        <v>361.96</v>
      </c>
      <c r="F619" s="10">
        <v>1.36</v>
      </c>
      <c r="G619" s="9">
        <f t="shared" si="36"/>
        <v>188.87878999999981</v>
      </c>
      <c r="H619" s="11" t="s">
        <v>581</v>
      </c>
      <c r="I619" s="8"/>
      <c r="K619">
        <f t="shared" si="37"/>
        <v>361.96</v>
      </c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 spans="1:27" ht="14" x14ac:dyDescent="0.15">
      <c r="A620" s="9">
        <v>619</v>
      </c>
      <c r="B620" s="9" t="s">
        <v>644</v>
      </c>
      <c r="C620" s="9" t="s">
        <v>23</v>
      </c>
      <c r="D620" s="10">
        <v>302.32</v>
      </c>
      <c r="E620" s="10">
        <v>302.32</v>
      </c>
      <c r="F620" s="10">
        <v>2.36</v>
      </c>
      <c r="G620" s="9">
        <f t="shared" si="36"/>
        <v>189.18110999999982</v>
      </c>
      <c r="H620" s="11" t="s">
        <v>581</v>
      </c>
      <c r="I620" s="8"/>
      <c r="K620">
        <f t="shared" si="37"/>
        <v>302.32</v>
      </c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 spans="1:27" ht="14" x14ac:dyDescent="0.15">
      <c r="A621" s="9">
        <v>620</v>
      </c>
      <c r="B621" s="9" t="s">
        <v>645</v>
      </c>
      <c r="C621" s="9" t="s">
        <v>16</v>
      </c>
      <c r="D621" s="10">
        <v>349.55</v>
      </c>
      <c r="E621" s="10">
        <v>349.55</v>
      </c>
      <c r="F621" s="10">
        <v>10.49</v>
      </c>
      <c r="G621" s="9">
        <f t="shared" si="36"/>
        <v>189.53065999999981</v>
      </c>
      <c r="H621" s="11" t="s">
        <v>581</v>
      </c>
      <c r="I621" s="8"/>
      <c r="K621">
        <f t="shared" si="37"/>
        <v>349.55</v>
      </c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 spans="1:27" ht="14" x14ac:dyDescent="0.15">
      <c r="A622" s="9">
        <v>621</v>
      </c>
      <c r="B622" s="9" t="s">
        <v>646</v>
      </c>
      <c r="C622" s="9" t="s">
        <v>23</v>
      </c>
      <c r="D622" s="10">
        <v>348.21</v>
      </c>
      <c r="E622" s="10">
        <v>348.21</v>
      </c>
      <c r="F622" s="10">
        <v>0.47</v>
      </c>
      <c r="G622" s="9">
        <f t="shared" si="36"/>
        <v>189.87886999999981</v>
      </c>
      <c r="H622" s="11" t="s">
        <v>581</v>
      </c>
      <c r="I622" s="8"/>
      <c r="K622">
        <f t="shared" si="37"/>
        <v>348.21</v>
      </c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 spans="1:27" ht="14" x14ac:dyDescent="0.15">
      <c r="A623" s="9">
        <v>622</v>
      </c>
      <c r="B623" s="9" t="s">
        <v>647</v>
      </c>
      <c r="C623" s="9" t="s">
        <v>23</v>
      </c>
      <c r="D623" s="10">
        <v>350.52</v>
      </c>
      <c r="E623" s="10">
        <v>350.52</v>
      </c>
      <c r="F623" s="10">
        <v>1.4</v>
      </c>
      <c r="G623" s="9">
        <f t="shared" si="36"/>
        <v>190.2293899999998</v>
      </c>
      <c r="H623" s="11" t="s">
        <v>581</v>
      </c>
      <c r="I623" s="8"/>
      <c r="K623">
        <f t="shared" si="37"/>
        <v>350.52</v>
      </c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 spans="1:27" ht="14" x14ac:dyDescent="0.15">
      <c r="A624" s="9">
        <v>623</v>
      </c>
      <c r="B624" s="9" t="s">
        <v>648</v>
      </c>
      <c r="C624" s="9" t="s">
        <v>16</v>
      </c>
      <c r="D624" s="10">
        <v>205.22</v>
      </c>
      <c r="E624" s="10">
        <v>205.22</v>
      </c>
      <c r="F624" s="10">
        <v>16.239999999999998</v>
      </c>
      <c r="G624" s="9">
        <f t="shared" si="36"/>
        <v>190.43460999999979</v>
      </c>
      <c r="H624" s="11" t="s">
        <v>581</v>
      </c>
      <c r="I624" s="8"/>
      <c r="K624">
        <f t="shared" si="37"/>
        <v>205.22</v>
      </c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 spans="1:27" ht="14" x14ac:dyDescent="0.15">
      <c r="A625" s="9">
        <v>624</v>
      </c>
      <c r="B625" s="9" t="s">
        <v>649</v>
      </c>
      <c r="C625" s="9" t="s">
        <v>19</v>
      </c>
      <c r="D625" s="10">
        <v>322.52</v>
      </c>
      <c r="E625" s="10">
        <v>331.02</v>
      </c>
      <c r="F625" s="10">
        <v>44.77</v>
      </c>
      <c r="G625" s="9">
        <f t="shared" si="36"/>
        <v>190.76562999999979</v>
      </c>
      <c r="H625" s="11" t="s">
        <v>581</v>
      </c>
      <c r="I625" s="8"/>
      <c r="J625" s="7">
        <f>D625+8.5</f>
        <v>331.02</v>
      </c>
      <c r="K625">
        <f t="shared" si="37"/>
        <v>331.02</v>
      </c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 spans="1:27" ht="14" x14ac:dyDescent="0.15">
      <c r="A626" s="9">
        <v>625</v>
      </c>
      <c r="B626" s="9" t="s">
        <v>650</v>
      </c>
      <c r="C626" s="9" t="s">
        <v>16</v>
      </c>
      <c r="D626" s="10">
        <v>236.68</v>
      </c>
      <c r="E626" s="10">
        <v>236.68</v>
      </c>
      <c r="F626" s="10">
        <v>0.21</v>
      </c>
      <c r="G626" s="9">
        <f t="shared" si="36"/>
        <v>191.0023099999998</v>
      </c>
      <c r="H626" s="11" t="s">
        <v>581</v>
      </c>
      <c r="I626" s="8"/>
      <c r="K626">
        <f t="shared" si="37"/>
        <v>236.68</v>
      </c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 spans="1:27" ht="14" x14ac:dyDescent="0.15">
      <c r="A627" s="9">
        <v>626</v>
      </c>
      <c r="B627" s="9" t="s">
        <v>651</v>
      </c>
      <c r="C627" s="9" t="s">
        <v>14</v>
      </c>
      <c r="D627" s="10">
        <v>367.59</v>
      </c>
      <c r="E627" s="10">
        <v>376.09</v>
      </c>
      <c r="F627" s="10">
        <v>60.58</v>
      </c>
      <c r="G627" s="9">
        <f t="shared" si="36"/>
        <v>191.3783999999998</v>
      </c>
      <c r="H627" s="11" t="s">
        <v>581</v>
      </c>
      <c r="I627" s="8"/>
      <c r="J627" s="7">
        <f t="shared" ref="J627:J632" si="39">D627+8.5</f>
        <v>376.09</v>
      </c>
      <c r="K627">
        <f t="shared" si="37"/>
        <v>376.09</v>
      </c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 spans="1:27" ht="14" x14ac:dyDescent="0.15">
      <c r="A628" s="9">
        <v>627</v>
      </c>
      <c r="B628" s="9" t="s">
        <v>652</v>
      </c>
      <c r="C628" s="9" t="s">
        <v>19</v>
      </c>
      <c r="D628" s="10">
        <v>245.12</v>
      </c>
      <c r="E628" s="10">
        <v>253.62</v>
      </c>
      <c r="F628" s="10">
        <v>29.46</v>
      </c>
      <c r="G628" s="9">
        <f t="shared" si="36"/>
        <v>191.63201999999981</v>
      </c>
      <c r="H628" s="11" t="s">
        <v>581</v>
      </c>
      <c r="I628" s="8"/>
      <c r="J628" s="7">
        <f t="shared" si="39"/>
        <v>253.62</v>
      </c>
      <c r="K628">
        <f t="shared" si="37"/>
        <v>253.62</v>
      </c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 spans="1:27" ht="14" x14ac:dyDescent="0.15">
      <c r="A629" s="9">
        <v>628</v>
      </c>
      <c r="B629" s="9" t="s">
        <v>653</v>
      </c>
      <c r="C629" s="9" t="s">
        <v>28</v>
      </c>
      <c r="D629" s="10">
        <v>130.44</v>
      </c>
      <c r="E629" s="10">
        <v>138.94</v>
      </c>
      <c r="F629" s="10">
        <v>3.06</v>
      </c>
      <c r="G629" s="9">
        <f t="shared" si="36"/>
        <v>191.7709599999998</v>
      </c>
      <c r="H629" s="11" t="s">
        <v>581</v>
      </c>
      <c r="I629" s="8"/>
      <c r="J629" s="7">
        <f t="shared" si="39"/>
        <v>138.94</v>
      </c>
      <c r="K629">
        <f t="shared" si="37"/>
        <v>138.94</v>
      </c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 spans="1:27" ht="14" x14ac:dyDescent="0.15">
      <c r="A630" s="9">
        <v>629</v>
      </c>
      <c r="B630" s="9" t="s">
        <v>654</v>
      </c>
      <c r="C630" s="9" t="s">
        <v>28</v>
      </c>
      <c r="D630" s="10">
        <v>154.25</v>
      </c>
      <c r="E630" s="10">
        <v>162.75</v>
      </c>
      <c r="F630" s="10">
        <v>0.27</v>
      </c>
      <c r="G630" s="9">
        <f t="shared" si="36"/>
        <v>191.93370999999979</v>
      </c>
      <c r="H630" s="11" t="s">
        <v>581</v>
      </c>
      <c r="I630" s="8"/>
      <c r="J630" s="7">
        <f t="shared" si="39"/>
        <v>162.75</v>
      </c>
      <c r="K630">
        <f t="shared" si="37"/>
        <v>162.75</v>
      </c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 spans="1:27" ht="14" x14ac:dyDescent="0.15">
      <c r="A631" s="9">
        <v>630</v>
      </c>
      <c r="B631" s="9" t="s">
        <v>655</v>
      </c>
      <c r="C631" s="9" t="s">
        <v>28</v>
      </c>
      <c r="D631" s="10">
        <v>213.16</v>
      </c>
      <c r="E631" s="10">
        <v>221.66</v>
      </c>
      <c r="F631" s="10">
        <v>9.39</v>
      </c>
      <c r="G631" s="9">
        <f t="shared" si="36"/>
        <v>192.15536999999981</v>
      </c>
      <c r="H631" s="11" t="s">
        <v>581</v>
      </c>
      <c r="I631" s="8"/>
      <c r="J631" s="7">
        <f t="shared" si="39"/>
        <v>221.66</v>
      </c>
      <c r="K631">
        <f t="shared" si="37"/>
        <v>221.66</v>
      </c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 spans="1:27" ht="14" x14ac:dyDescent="0.15">
      <c r="A632" s="9">
        <v>631</v>
      </c>
      <c r="B632" s="9" t="s">
        <v>656</v>
      </c>
      <c r="C632" s="9" t="s">
        <v>19</v>
      </c>
      <c r="D632" s="10">
        <v>325.25</v>
      </c>
      <c r="E632" s="10">
        <v>333.75</v>
      </c>
      <c r="F632" s="10">
        <v>3.54</v>
      </c>
      <c r="G632" s="9">
        <f t="shared" si="36"/>
        <v>192.48911999999982</v>
      </c>
      <c r="H632" s="11" t="s">
        <v>581</v>
      </c>
      <c r="I632" s="8"/>
      <c r="J632" s="7">
        <f t="shared" si="39"/>
        <v>333.75</v>
      </c>
      <c r="K632">
        <f t="shared" si="37"/>
        <v>333.75</v>
      </c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 spans="1:27" ht="14" x14ac:dyDescent="0.15">
      <c r="A633" s="9">
        <v>632</v>
      </c>
      <c r="B633" s="9" t="s">
        <v>657</v>
      </c>
      <c r="C633" s="9" t="s">
        <v>16</v>
      </c>
      <c r="D633" s="10">
        <v>312.22000000000003</v>
      </c>
      <c r="E633" s="10">
        <v>312.22000000000003</v>
      </c>
      <c r="F633" s="10">
        <v>8.6999999999999993</v>
      </c>
      <c r="G633" s="9">
        <f t="shared" si="36"/>
        <v>192.80133999999981</v>
      </c>
      <c r="H633" s="11" t="s">
        <v>581</v>
      </c>
      <c r="I633" s="8"/>
      <c r="K633">
        <f t="shared" si="37"/>
        <v>312.22000000000003</v>
      </c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 spans="1:27" ht="14" x14ac:dyDescent="0.15">
      <c r="A634" s="9">
        <v>633</v>
      </c>
      <c r="B634" s="9" t="s">
        <v>658</v>
      </c>
      <c r="C634" s="9" t="s">
        <v>19</v>
      </c>
      <c r="D634" s="10">
        <v>331.35</v>
      </c>
      <c r="E634" s="10">
        <v>339.85</v>
      </c>
      <c r="F634" s="10">
        <v>16.28</v>
      </c>
      <c r="G634" s="9">
        <f t="shared" si="36"/>
        <v>193.14118999999982</v>
      </c>
      <c r="H634" s="11" t="s">
        <v>581</v>
      </c>
      <c r="I634" s="8"/>
      <c r="J634" s="7">
        <f>D634+8.5</f>
        <v>339.85</v>
      </c>
      <c r="K634">
        <f t="shared" si="37"/>
        <v>339.85</v>
      </c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 spans="1:27" ht="14" x14ac:dyDescent="0.15">
      <c r="A635" s="9">
        <v>634</v>
      </c>
      <c r="B635" s="9" t="s">
        <v>659</v>
      </c>
      <c r="C635" s="9" t="s">
        <v>16</v>
      </c>
      <c r="D635" s="10">
        <v>388.98</v>
      </c>
      <c r="E635" s="10">
        <v>388.98</v>
      </c>
      <c r="F635" s="10">
        <v>0.59</v>
      </c>
      <c r="G635" s="9">
        <f t="shared" si="36"/>
        <v>193.53016999999983</v>
      </c>
      <c r="H635" s="11" t="s">
        <v>581</v>
      </c>
      <c r="I635" s="8"/>
      <c r="K635">
        <f t="shared" si="37"/>
        <v>388.98</v>
      </c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 spans="1:27" ht="14" x14ac:dyDescent="0.15">
      <c r="A636" s="9">
        <v>635</v>
      </c>
      <c r="B636" s="9" t="s">
        <v>660</v>
      </c>
      <c r="C636" s="9" t="s">
        <v>19</v>
      </c>
      <c r="D636" s="10">
        <v>331.22</v>
      </c>
      <c r="E636" s="10">
        <v>339.72</v>
      </c>
      <c r="F636" s="10">
        <v>0.55000000000000004</v>
      </c>
      <c r="G636" s="9">
        <f t="shared" si="36"/>
        <v>193.86988999999983</v>
      </c>
      <c r="H636" s="11" t="s">
        <v>581</v>
      </c>
      <c r="I636" s="8"/>
      <c r="J636" s="7">
        <f>D636+8.5</f>
        <v>339.72</v>
      </c>
      <c r="K636">
        <f t="shared" si="37"/>
        <v>339.72</v>
      </c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 spans="1:27" ht="14" x14ac:dyDescent="0.15">
      <c r="A637" s="9">
        <v>636</v>
      </c>
      <c r="B637" s="9" t="s">
        <v>661</v>
      </c>
      <c r="C637" s="9" t="s">
        <v>23</v>
      </c>
      <c r="D637" s="10">
        <v>347.34</v>
      </c>
      <c r="E637" s="10">
        <v>347.34</v>
      </c>
      <c r="F637" s="10">
        <v>0.16</v>
      </c>
      <c r="G637" s="9">
        <f t="shared" si="36"/>
        <v>194.21722999999983</v>
      </c>
      <c r="H637" s="11" t="s">
        <v>581</v>
      </c>
      <c r="I637" s="8"/>
      <c r="K637">
        <f t="shared" si="37"/>
        <v>347.34</v>
      </c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 spans="1:27" ht="14" x14ac:dyDescent="0.15">
      <c r="A638" s="9">
        <v>637</v>
      </c>
      <c r="B638" s="9" t="s">
        <v>662</v>
      </c>
      <c r="C638" s="9" t="s">
        <v>23</v>
      </c>
      <c r="D638" s="10">
        <v>297.66000000000003</v>
      </c>
      <c r="E638" s="10">
        <v>297.66000000000003</v>
      </c>
      <c r="F638" s="10">
        <v>1.08</v>
      </c>
      <c r="G638" s="9">
        <f t="shared" si="36"/>
        <v>194.51488999999984</v>
      </c>
      <c r="H638" s="11" t="s">
        <v>581</v>
      </c>
      <c r="I638" s="8"/>
      <c r="K638">
        <f t="shared" si="37"/>
        <v>297.66000000000003</v>
      </c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 spans="1:27" ht="14" x14ac:dyDescent="0.15">
      <c r="A639" s="9">
        <v>638</v>
      </c>
      <c r="B639" s="9" t="s">
        <v>663</v>
      </c>
      <c r="C639" s="9" t="s">
        <v>23</v>
      </c>
      <c r="D639" s="10">
        <v>324.61</v>
      </c>
      <c r="E639" s="10">
        <v>324.61</v>
      </c>
      <c r="F639" s="10">
        <v>0.5</v>
      </c>
      <c r="G639" s="9">
        <f t="shared" si="36"/>
        <v>194.83949999999984</v>
      </c>
      <c r="H639" s="11" t="s">
        <v>581</v>
      </c>
      <c r="I639" s="8"/>
      <c r="K639">
        <f t="shared" si="37"/>
        <v>324.61</v>
      </c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 spans="1:27" ht="14" x14ac:dyDescent="0.15">
      <c r="A640" s="9">
        <v>639</v>
      </c>
      <c r="B640" s="9" t="s">
        <v>664</v>
      </c>
      <c r="C640" s="9" t="s">
        <v>28</v>
      </c>
      <c r="D640" s="10">
        <v>321.33</v>
      </c>
      <c r="E640" s="10">
        <v>329.83</v>
      </c>
      <c r="F640" s="10">
        <v>20.05</v>
      </c>
      <c r="G640" s="9">
        <f t="shared" si="36"/>
        <v>195.16932999999983</v>
      </c>
      <c r="H640" s="11" t="s">
        <v>581</v>
      </c>
      <c r="I640" s="8"/>
      <c r="J640" s="7">
        <f>D640+8.5</f>
        <v>329.83</v>
      </c>
      <c r="K640">
        <f t="shared" si="37"/>
        <v>329.83</v>
      </c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 spans="1:27" ht="14" x14ac:dyDescent="0.15">
      <c r="A641" s="9">
        <v>640</v>
      </c>
      <c r="B641" s="9" t="s">
        <v>665</v>
      </c>
      <c r="C641" s="9" t="s">
        <v>23</v>
      </c>
      <c r="D641" s="10">
        <v>295.81</v>
      </c>
      <c r="E641" s="10">
        <v>295.81</v>
      </c>
      <c r="F641" s="10">
        <v>1.0900000000000001</v>
      </c>
      <c r="G641" s="9">
        <f t="shared" si="36"/>
        <v>195.46513999999982</v>
      </c>
      <c r="H641" s="11" t="s">
        <v>581</v>
      </c>
      <c r="I641" s="8"/>
      <c r="K641">
        <f t="shared" si="37"/>
        <v>295.81</v>
      </c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 spans="1:27" ht="14" x14ac:dyDescent="0.15">
      <c r="A642" s="9">
        <v>641</v>
      </c>
      <c r="B642" s="9" t="s">
        <v>666</v>
      </c>
      <c r="C642" s="9" t="s">
        <v>19</v>
      </c>
      <c r="D642" s="10">
        <v>236.32</v>
      </c>
      <c r="E642" s="10">
        <v>244.82</v>
      </c>
      <c r="F642" s="10">
        <v>36.369999999999997</v>
      </c>
      <c r="G642" s="9">
        <f t="shared" si="36"/>
        <v>195.70995999999982</v>
      </c>
      <c r="H642" s="11" t="s">
        <v>581</v>
      </c>
      <c r="I642" s="8"/>
      <c r="J642" s="7">
        <f>D642+8.5</f>
        <v>244.82</v>
      </c>
      <c r="K642">
        <f t="shared" si="37"/>
        <v>244.82</v>
      </c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 spans="1:27" ht="14" x14ac:dyDescent="0.15">
      <c r="A643" s="9">
        <v>642</v>
      </c>
      <c r="B643" s="9" t="s">
        <v>667</v>
      </c>
      <c r="C643" s="9" t="s">
        <v>23</v>
      </c>
      <c r="D643" s="10">
        <v>223.8</v>
      </c>
      <c r="E643" s="10">
        <v>223.8</v>
      </c>
      <c r="F643" s="10">
        <v>1.65</v>
      </c>
      <c r="G643" s="9">
        <f t="shared" si="36"/>
        <v>195.93375999999984</v>
      </c>
      <c r="H643" s="11" t="s">
        <v>581</v>
      </c>
      <c r="I643" s="8"/>
      <c r="K643">
        <f t="shared" si="37"/>
        <v>223.8</v>
      </c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 spans="1:27" ht="14" x14ac:dyDescent="0.15">
      <c r="A644" s="9">
        <v>643</v>
      </c>
      <c r="B644" s="9" t="s">
        <v>668</v>
      </c>
      <c r="C644" s="9" t="s">
        <v>19</v>
      </c>
      <c r="D644" s="10">
        <v>338.61</v>
      </c>
      <c r="E644" s="10">
        <v>347.11</v>
      </c>
      <c r="F644" s="10">
        <v>35.409999999999997</v>
      </c>
      <c r="G644" s="9">
        <f t="shared" ref="G644:G707" si="40">E644/1000+G643</f>
        <v>196.28086999999982</v>
      </c>
      <c r="H644" s="11" t="s">
        <v>581</v>
      </c>
      <c r="I644" s="8"/>
      <c r="J644" s="7">
        <f>D644+8.5</f>
        <v>347.11</v>
      </c>
      <c r="K644">
        <f t="shared" ref="K644:K707" si="41">IF(J644&lt;&gt;"",J644,D644)</f>
        <v>347.11</v>
      </c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 spans="1:27" ht="14" x14ac:dyDescent="0.15">
      <c r="A645" s="9">
        <v>644</v>
      </c>
      <c r="B645" s="9" t="s">
        <v>669</v>
      </c>
      <c r="C645" s="9" t="s">
        <v>16</v>
      </c>
      <c r="D645" s="10">
        <v>311.93</v>
      </c>
      <c r="E645" s="10">
        <v>311.93</v>
      </c>
      <c r="F645" s="10">
        <v>3.66</v>
      </c>
      <c r="G645" s="9">
        <f t="shared" si="40"/>
        <v>196.59279999999981</v>
      </c>
      <c r="H645" s="11" t="s">
        <v>581</v>
      </c>
      <c r="I645" s="8"/>
      <c r="K645">
        <f t="shared" si="41"/>
        <v>311.93</v>
      </c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 spans="1:27" ht="14" x14ac:dyDescent="0.15">
      <c r="A646" s="9">
        <v>645</v>
      </c>
      <c r="B646" s="9" t="s">
        <v>670</v>
      </c>
      <c r="C646" s="9" t="s">
        <v>23</v>
      </c>
      <c r="D646" s="10">
        <v>343.86</v>
      </c>
      <c r="E646" s="10">
        <v>343.86</v>
      </c>
      <c r="F646" s="10">
        <v>1.57</v>
      </c>
      <c r="G646" s="9">
        <f t="shared" si="40"/>
        <v>196.93665999999982</v>
      </c>
      <c r="H646" s="11" t="s">
        <v>581</v>
      </c>
      <c r="I646" s="8"/>
      <c r="K646">
        <f t="shared" si="41"/>
        <v>343.86</v>
      </c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 spans="1:27" ht="14" x14ac:dyDescent="0.15">
      <c r="A647" s="9">
        <v>646</v>
      </c>
      <c r="B647" s="9" t="s">
        <v>671</v>
      </c>
      <c r="C647" s="9" t="s">
        <v>23</v>
      </c>
      <c r="D647" s="10">
        <v>307.85000000000002</v>
      </c>
      <c r="E647" s="10">
        <v>307.85000000000002</v>
      </c>
      <c r="F647" s="10">
        <v>2.68</v>
      </c>
      <c r="G647" s="9">
        <f t="shared" si="40"/>
        <v>197.24450999999982</v>
      </c>
      <c r="H647" s="11" t="s">
        <v>581</v>
      </c>
      <c r="I647" s="8"/>
      <c r="K647">
        <f t="shared" si="41"/>
        <v>307.85000000000002</v>
      </c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 spans="1:27" ht="14" x14ac:dyDescent="0.15">
      <c r="A648" s="9">
        <v>647</v>
      </c>
      <c r="B648" s="9" t="s">
        <v>672</v>
      </c>
      <c r="C648" s="9" t="s">
        <v>19</v>
      </c>
      <c r="D648" s="10">
        <v>320.83999999999997</v>
      </c>
      <c r="E648" s="10">
        <v>329.34</v>
      </c>
      <c r="F648" s="10">
        <v>31.91</v>
      </c>
      <c r="G648" s="9">
        <f t="shared" si="40"/>
        <v>197.57384999999982</v>
      </c>
      <c r="H648" s="11" t="s">
        <v>581</v>
      </c>
      <c r="I648" s="8"/>
      <c r="J648" s="7">
        <f>D648+8.5</f>
        <v>329.34</v>
      </c>
      <c r="K648">
        <f t="shared" si="41"/>
        <v>329.34</v>
      </c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 spans="1:27" ht="14" x14ac:dyDescent="0.15">
      <c r="A649" s="9">
        <v>648</v>
      </c>
      <c r="B649" s="9" t="s">
        <v>673</v>
      </c>
      <c r="C649" s="9" t="s">
        <v>23</v>
      </c>
      <c r="D649" s="10">
        <v>334.43</v>
      </c>
      <c r="E649" s="10">
        <v>334.43</v>
      </c>
      <c r="F649" s="10">
        <v>0.2</v>
      </c>
      <c r="G649" s="9">
        <f t="shared" si="40"/>
        <v>197.90827999999982</v>
      </c>
      <c r="H649" s="11" t="s">
        <v>581</v>
      </c>
      <c r="I649" s="8"/>
      <c r="K649">
        <f t="shared" si="41"/>
        <v>334.43</v>
      </c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 spans="1:27" ht="14" x14ac:dyDescent="0.15">
      <c r="A650" s="9">
        <v>649</v>
      </c>
      <c r="B650" s="9" t="s">
        <v>674</v>
      </c>
      <c r="C650" s="9" t="s">
        <v>23</v>
      </c>
      <c r="D650" s="10">
        <v>337.73</v>
      </c>
      <c r="E650" s="10">
        <v>337.73</v>
      </c>
      <c r="F650" s="10">
        <v>1.55</v>
      </c>
      <c r="G650" s="9">
        <f t="shared" si="40"/>
        <v>198.24600999999981</v>
      </c>
      <c r="H650" s="11" t="s">
        <v>581</v>
      </c>
      <c r="I650" s="8"/>
      <c r="K650">
        <f t="shared" si="41"/>
        <v>337.73</v>
      </c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 spans="1:27" ht="14" x14ac:dyDescent="0.15">
      <c r="A651" s="9">
        <v>650</v>
      </c>
      <c r="B651" s="9" t="s">
        <v>675</v>
      </c>
      <c r="C651" s="9" t="s">
        <v>23</v>
      </c>
      <c r="D651" s="10">
        <v>291.7</v>
      </c>
      <c r="E651" s="10">
        <v>291.7</v>
      </c>
      <c r="F651" s="10">
        <v>2.02</v>
      </c>
      <c r="G651" s="9">
        <f t="shared" si="40"/>
        <v>198.53770999999981</v>
      </c>
      <c r="H651" s="11" t="s">
        <v>581</v>
      </c>
      <c r="I651" s="8"/>
      <c r="K651">
        <f t="shared" si="41"/>
        <v>291.7</v>
      </c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 spans="1:27" ht="14" x14ac:dyDescent="0.15">
      <c r="A652" s="9">
        <v>651</v>
      </c>
      <c r="B652" s="9" t="s">
        <v>676</v>
      </c>
      <c r="C652" s="9" t="s">
        <v>23</v>
      </c>
      <c r="D652" s="10">
        <v>423.21</v>
      </c>
      <c r="E652" s="10">
        <v>423.21</v>
      </c>
      <c r="F652" s="10">
        <v>1.31</v>
      </c>
      <c r="G652" s="9">
        <f t="shared" si="40"/>
        <v>198.96091999999982</v>
      </c>
      <c r="H652" s="11" t="s">
        <v>581</v>
      </c>
      <c r="I652" s="8"/>
      <c r="K652">
        <f t="shared" si="41"/>
        <v>423.21</v>
      </c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 spans="1:27" ht="14" x14ac:dyDescent="0.15">
      <c r="A653" s="9">
        <v>652</v>
      </c>
      <c r="B653" s="9" t="s">
        <v>677</v>
      </c>
      <c r="C653" s="9" t="s">
        <v>19</v>
      </c>
      <c r="D653" s="10">
        <v>322.99</v>
      </c>
      <c r="E653" s="10">
        <v>331.49</v>
      </c>
      <c r="F653" s="10">
        <v>39.869999999999997</v>
      </c>
      <c r="G653" s="9">
        <f t="shared" si="40"/>
        <v>199.29240999999982</v>
      </c>
      <c r="H653" s="11" t="s">
        <v>581</v>
      </c>
      <c r="I653" s="8"/>
      <c r="J653" s="7">
        <f>D653+8.5</f>
        <v>331.49</v>
      </c>
      <c r="K653">
        <f t="shared" si="41"/>
        <v>331.49</v>
      </c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 spans="1:27" ht="14" x14ac:dyDescent="0.15">
      <c r="A654" s="9">
        <v>653</v>
      </c>
      <c r="B654" s="9" t="s">
        <v>678</v>
      </c>
      <c r="C654" s="9" t="s">
        <v>23</v>
      </c>
      <c r="D654" s="10">
        <v>374.87</v>
      </c>
      <c r="E654" s="10">
        <v>374.87</v>
      </c>
      <c r="F654" s="10">
        <v>0.72</v>
      </c>
      <c r="G654" s="9">
        <f t="shared" si="40"/>
        <v>199.66727999999981</v>
      </c>
      <c r="H654" s="11" t="s">
        <v>581</v>
      </c>
      <c r="I654" s="8"/>
      <c r="K654">
        <f t="shared" si="41"/>
        <v>374.87</v>
      </c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 spans="1:27" ht="14" x14ac:dyDescent="0.15">
      <c r="A655" s="9">
        <v>654</v>
      </c>
      <c r="B655" s="9" t="s">
        <v>679</v>
      </c>
      <c r="C655" s="9" t="s">
        <v>23</v>
      </c>
      <c r="D655" s="10">
        <v>250.18</v>
      </c>
      <c r="E655" s="10">
        <v>250.18</v>
      </c>
      <c r="F655" s="10">
        <v>1.91</v>
      </c>
      <c r="G655" s="9">
        <f t="shared" si="40"/>
        <v>199.91745999999981</v>
      </c>
      <c r="H655" s="11" t="s">
        <v>581</v>
      </c>
      <c r="I655" s="8"/>
      <c r="K655">
        <f t="shared" si="41"/>
        <v>250.18</v>
      </c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 spans="1:27" ht="14" x14ac:dyDescent="0.15">
      <c r="A656" s="9">
        <v>655</v>
      </c>
      <c r="B656" s="9" t="s">
        <v>680</v>
      </c>
      <c r="C656" s="9" t="s">
        <v>16</v>
      </c>
      <c r="D656" s="10">
        <v>291.5</v>
      </c>
      <c r="E656" s="10">
        <v>291.5</v>
      </c>
      <c r="F656" s="10">
        <v>14.83</v>
      </c>
      <c r="G656" s="9">
        <f t="shared" si="40"/>
        <v>200.20895999999982</v>
      </c>
      <c r="H656" s="11" t="s">
        <v>581</v>
      </c>
      <c r="I656" s="8"/>
      <c r="K656">
        <f t="shared" si="41"/>
        <v>291.5</v>
      </c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 spans="1:27" ht="14" x14ac:dyDescent="0.15">
      <c r="A657" s="9">
        <v>656</v>
      </c>
      <c r="B657" s="9" t="s">
        <v>117</v>
      </c>
      <c r="C657" s="9" t="s">
        <v>23</v>
      </c>
      <c r="D657" s="10">
        <v>277.92</v>
      </c>
      <c r="E657" s="10">
        <v>277.92</v>
      </c>
      <c r="F657" s="10">
        <v>0.46</v>
      </c>
      <c r="G657" s="9">
        <f t="shared" si="40"/>
        <v>200.48687999999981</v>
      </c>
      <c r="H657" s="11" t="s">
        <v>581</v>
      </c>
      <c r="I657" s="8"/>
      <c r="K657">
        <f t="shared" si="41"/>
        <v>277.92</v>
      </c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 spans="1:27" ht="14" x14ac:dyDescent="0.15">
      <c r="A658" s="9">
        <v>657</v>
      </c>
      <c r="B658" s="9" t="s">
        <v>118</v>
      </c>
      <c r="C658" s="9" t="s">
        <v>28</v>
      </c>
      <c r="D658" s="10">
        <v>344.02</v>
      </c>
      <c r="E658" s="10">
        <v>352.52</v>
      </c>
      <c r="F658" s="10">
        <v>25.49</v>
      </c>
      <c r="G658" s="9">
        <f t="shared" si="40"/>
        <v>200.83939999999981</v>
      </c>
      <c r="H658" s="11" t="s">
        <v>581</v>
      </c>
      <c r="I658" s="8"/>
      <c r="J658" s="7">
        <f t="shared" ref="J658:J659" si="42">D658+8.5</f>
        <v>352.52</v>
      </c>
      <c r="K658">
        <f t="shared" si="41"/>
        <v>352.52</v>
      </c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 spans="1:27" ht="14" x14ac:dyDescent="0.15">
      <c r="A659" s="9">
        <v>658</v>
      </c>
      <c r="B659" s="9" t="s">
        <v>121</v>
      </c>
      <c r="C659" s="9" t="s">
        <v>28</v>
      </c>
      <c r="D659" s="10">
        <v>329.04</v>
      </c>
      <c r="E659" s="10">
        <v>337.54</v>
      </c>
      <c r="F659" s="10">
        <v>20.7</v>
      </c>
      <c r="G659" s="9">
        <f t="shared" si="40"/>
        <v>201.1769399999998</v>
      </c>
      <c r="H659" s="11" t="s">
        <v>581</v>
      </c>
      <c r="I659" s="8"/>
      <c r="J659" s="7">
        <f t="shared" si="42"/>
        <v>337.54</v>
      </c>
      <c r="K659">
        <f t="shared" si="41"/>
        <v>337.54</v>
      </c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 spans="1:27" ht="14" x14ac:dyDescent="0.15">
      <c r="A660" s="9">
        <v>659</v>
      </c>
      <c r="B660" s="9" t="s">
        <v>122</v>
      </c>
      <c r="C660" s="9" t="s">
        <v>23</v>
      </c>
      <c r="D660" s="10">
        <v>342.17</v>
      </c>
      <c r="E660" s="10">
        <v>342.17</v>
      </c>
      <c r="F660" s="10">
        <v>0.19</v>
      </c>
      <c r="G660" s="9">
        <f t="shared" si="40"/>
        <v>201.51910999999981</v>
      </c>
      <c r="H660" s="11" t="s">
        <v>581</v>
      </c>
      <c r="I660" s="8"/>
      <c r="K660">
        <f t="shared" si="41"/>
        <v>342.17</v>
      </c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 spans="1:27" ht="14" x14ac:dyDescent="0.15">
      <c r="A661" s="9">
        <v>660</v>
      </c>
      <c r="B661" s="9" t="s">
        <v>123</v>
      </c>
      <c r="C661" s="9" t="s">
        <v>23</v>
      </c>
      <c r="D661" s="10">
        <v>311.39999999999998</v>
      </c>
      <c r="E661" s="10">
        <v>311.39999999999998</v>
      </c>
      <c r="F661" s="10">
        <v>1.34</v>
      </c>
      <c r="G661" s="9">
        <f t="shared" si="40"/>
        <v>201.8305099999998</v>
      </c>
      <c r="H661" s="11" t="s">
        <v>581</v>
      </c>
      <c r="I661" s="8"/>
      <c r="K661">
        <f t="shared" si="41"/>
        <v>311.39999999999998</v>
      </c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 spans="1:27" ht="14" x14ac:dyDescent="0.15">
      <c r="A662" s="9">
        <v>661</v>
      </c>
      <c r="B662" s="9" t="s">
        <v>124</v>
      </c>
      <c r="C662" s="9" t="s">
        <v>23</v>
      </c>
      <c r="D662" s="10">
        <v>351.74</v>
      </c>
      <c r="E662" s="10">
        <v>351.74</v>
      </c>
      <c r="F662" s="10">
        <v>2.33</v>
      </c>
      <c r="G662" s="9">
        <f t="shared" si="40"/>
        <v>202.18224999999981</v>
      </c>
      <c r="H662" s="11" t="s">
        <v>581</v>
      </c>
      <c r="I662" s="8"/>
      <c r="K662">
        <f t="shared" si="41"/>
        <v>351.74</v>
      </c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 spans="1:27" ht="14" x14ac:dyDescent="0.15">
      <c r="A663" s="9">
        <v>662</v>
      </c>
      <c r="B663" s="9" t="s">
        <v>125</v>
      </c>
      <c r="C663" s="9" t="s">
        <v>23</v>
      </c>
      <c r="D663" s="10">
        <v>250.12</v>
      </c>
      <c r="E663" s="10">
        <v>250.12</v>
      </c>
      <c r="F663" s="10">
        <v>3.09</v>
      </c>
      <c r="G663" s="9">
        <f t="shared" si="40"/>
        <v>202.43236999999982</v>
      </c>
      <c r="H663" s="11" t="s">
        <v>581</v>
      </c>
      <c r="I663" s="8"/>
      <c r="K663">
        <f t="shared" si="41"/>
        <v>250.12</v>
      </c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 spans="1:27" ht="14" x14ac:dyDescent="0.15">
      <c r="A664" s="9">
        <v>663</v>
      </c>
      <c r="B664" s="9" t="s">
        <v>126</v>
      </c>
      <c r="C664" s="9" t="s">
        <v>19</v>
      </c>
      <c r="D664" s="10">
        <v>202.85</v>
      </c>
      <c r="E664" s="10">
        <v>211.35</v>
      </c>
      <c r="F664" s="10">
        <v>48.02</v>
      </c>
      <c r="G664" s="9">
        <f t="shared" si="40"/>
        <v>202.64371999999983</v>
      </c>
      <c r="H664" s="11" t="s">
        <v>581</v>
      </c>
      <c r="I664" s="8"/>
      <c r="J664" s="7">
        <f>D664+8.5</f>
        <v>211.35</v>
      </c>
      <c r="K664">
        <f t="shared" si="41"/>
        <v>211.35</v>
      </c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 spans="1:27" ht="14" x14ac:dyDescent="0.15">
      <c r="A665" s="9">
        <v>664</v>
      </c>
      <c r="B665" s="9" t="s">
        <v>127</v>
      </c>
      <c r="C665" s="9" t="s">
        <v>23</v>
      </c>
      <c r="D665" s="10">
        <v>251.15</v>
      </c>
      <c r="E665" s="10">
        <v>251.15</v>
      </c>
      <c r="F665" s="10">
        <v>11.67</v>
      </c>
      <c r="G665" s="9">
        <f t="shared" si="40"/>
        <v>202.89486999999983</v>
      </c>
      <c r="H665" s="11" t="s">
        <v>581</v>
      </c>
      <c r="I665" s="8"/>
      <c r="K665">
        <f t="shared" si="41"/>
        <v>251.15</v>
      </c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 spans="1:27" ht="14" x14ac:dyDescent="0.15">
      <c r="A666" s="9">
        <v>665</v>
      </c>
      <c r="B666" s="9" t="s">
        <v>128</v>
      </c>
      <c r="C666" s="9" t="s">
        <v>23</v>
      </c>
      <c r="D666" s="10">
        <v>285.31</v>
      </c>
      <c r="E666" s="10">
        <v>285.31</v>
      </c>
      <c r="F666" s="10">
        <v>3.98</v>
      </c>
      <c r="G666" s="9">
        <f t="shared" si="40"/>
        <v>203.18017999999984</v>
      </c>
      <c r="H666" s="11" t="s">
        <v>581</v>
      </c>
      <c r="I666" s="8"/>
      <c r="K666">
        <f t="shared" si="41"/>
        <v>285.31</v>
      </c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 spans="1:27" ht="14" x14ac:dyDescent="0.15">
      <c r="A667" s="9">
        <v>666</v>
      </c>
      <c r="B667" s="9" t="s">
        <v>129</v>
      </c>
      <c r="C667" s="9" t="s">
        <v>19</v>
      </c>
      <c r="D667" s="10">
        <v>260.12</v>
      </c>
      <c r="E667" s="10">
        <v>268.62</v>
      </c>
      <c r="F667" s="10">
        <v>42</v>
      </c>
      <c r="G667" s="9">
        <f t="shared" si="40"/>
        <v>203.44879999999984</v>
      </c>
      <c r="H667" s="11" t="s">
        <v>581</v>
      </c>
      <c r="I667" s="8"/>
      <c r="J667" s="7">
        <f>D667+8.5</f>
        <v>268.62</v>
      </c>
      <c r="K667">
        <f t="shared" si="41"/>
        <v>268.62</v>
      </c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 spans="1:27" ht="14" x14ac:dyDescent="0.15">
      <c r="A668" s="9">
        <v>667</v>
      </c>
      <c r="B668" s="9" t="s">
        <v>130</v>
      </c>
      <c r="C668" s="9" t="s">
        <v>23</v>
      </c>
      <c r="D668" s="10">
        <v>367.35</v>
      </c>
      <c r="E668" s="10">
        <v>367.35</v>
      </c>
      <c r="F668" s="10">
        <v>0.28999999999999998</v>
      </c>
      <c r="G668" s="9">
        <f t="shared" si="40"/>
        <v>203.81614999999982</v>
      </c>
      <c r="H668" s="11" t="s">
        <v>581</v>
      </c>
      <c r="I668" s="8"/>
      <c r="K668">
        <f t="shared" si="41"/>
        <v>367.35</v>
      </c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 spans="1:27" ht="14" x14ac:dyDescent="0.15">
      <c r="A669" s="9">
        <v>668</v>
      </c>
      <c r="B669" s="9" t="s">
        <v>131</v>
      </c>
      <c r="C669" s="9" t="s">
        <v>19</v>
      </c>
      <c r="D669" s="10">
        <v>348.33</v>
      </c>
      <c r="E669" s="10">
        <v>356.83</v>
      </c>
      <c r="F669" s="10">
        <v>54.7</v>
      </c>
      <c r="G669" s="9">
        <f t="shared" si="40"/>
        <v>204.17297999999982</v>
      </c>
      <c r="H669" s="11" t="s">
        <v>581</v>
      </c>
      <c r="I669" s="8"/>
      <c r="J669" s="7">
        <f t="shared" ref="J669:J670" si="43">D669+8.5</f>
        <v>356.83</v>
      </c>
      <c r="K669">
        <f t="shared" si="41"/>
        <v>356.83</v>
      </c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 spans="1:27" ht="14" x14ac:dyDescent="0.15">
      <c r="A670" s="9">
        <v>669</v>
      </c>
      <c r="B670" s="9" t="s">
        <v>132</v>
      </c>
      <c r="C670" s="9" t="s">
        <v>19</v>
      </c>
      <c r="D670" s="10">
        <v>260.62</v>
      </c>
      <c r="E670" s="10">
        <v>269.12</v>
      </c>
      <c r="F670" s="10">
        <v>42.4</v>
      </c>
      <c r="G670" s="9">
        <f t="shared" si="40"/>
        <v>204.44209999999981</v>
      </c>
      <c r="H670" s="11" t="s">
        <v>581</v>
      </c>
      <c r="I670" s="8"/>
      <c r="J670" s="7">
        <f t="shared" si="43"/>
        <v>269.12</v>
      </c>
      <c r="K670">
        <f t="shared" si="41"/>
        <v>269.12</v>
      </c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 spans="1:27" ht="14" x14ac:dyDescent="0.15">
      <c r="A671" s="9">
        <v>670</v>
      </c>
      <c r="B671" s="9" t="s">
        <v>133</v>
      </c>
      <c r="C671" s="9" t="s">
        <v>23</v>
      </c>
      <c r="D671" s="10">
        <v>204.94</v>
      </c>
      <c r="E671" s="10">
        <v>204.94</v>
      </c>
      <c r="F671" s="10">
        <v>0.1</v>
      </c>
      <c r="G671" s="9">
        <f t="shared" si="40"/>
        <v>204.64703999999981</v>
      </c>
      <c r="H671" s="11" t="s">
        <v>581</v>
      </c>
      <c r="I671" s="8"/>
      <c r="K671">
        <f t="shared" si="41"/>
        <v>204.94</v>
      </c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 spans="1:27" ht="14" x14ac:dyDescent="0.15">
      <c r="A672" s="9">
        <v>671</v>
      </c>
      <c r="B672" s="9" t="s">
        <v>134</v>
      </c>
      <c r="C672" s="9" t="s">
        <v>28</v>
      </c>
      <c r="D672" s="10">
        <v>309.60000000000002</v>
      </c>
      <c r="E672" s="10">
        <v>318.10000000000002</v>
      </c>
      <c r="F672" s="10">
        <v>0.91</v>
      </c>
      <c r="G672" s="9">
        <f t="shared" si="40"/>
        <v>204.96513999999979</v>
      </c>
      <c r="H672" s="11" t="s">
        <v>581</v>
      </c>
      <c r="I672" s="8"/>
      <c r="J672" s="7">
        <f t="shared" ref="J672:J674" si="44">D672+8.5</f>
        <v>318.10000000000002</v>
      </c>
      <c r="K672">
        <f t="shared" si="41"/>
        <v>318.10000000000002</v>
      </c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 spans="1:27" ht="14" x14ac:dyDescent="0.15">
      <c r="A673" s="9">
        <v>672</v>
      </c>
      <c r="B673" s="9" t="s">
        <v>135</v>
      </c>
      <c r="C673" s="9" t="s">
        <v>19</v>
      </c>
      <c r="D673" s="10">
        <v>242</v>
      </c>
      <c r="E673" s="10">
        <v>250.5</v>
      </c>
      <c r="F673" s="10">
        <v>36.340000000000003</v>
      </c>
      <c r="G673" s="9">
        <f t="shared" si="40"/>
        <v>205.21563999999978</v>
      </c>
      <c r="H673" s="11" t="s">
        <v>581</v>
      </c>
      <c r="I673" s="8"/>
      <c r="J673" s="7">
        <f t="shared" si="44"/>
        <v>250.5</v>
      </c>
      <c r="K673">
        <f t="shared" si="41"/>
        <v>250.5</v>
      </c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 spans="1:27" ht="14" x14ac:dyDescent="0.15">
      <c r="A674" s="9">
        <v>673</v>
      </c>
      <c r="B674" s="9" t="s">
        <v>136</v>
      </c>
      <c r="C674" s="9" t="s">
        <v>19</v>
      </c>
      <c r="D674" s="10">
        <v>311.67</v>
      </c>
      <c r="E674" s="10">
        <v>320.17</v>
      </c>
      <c r="F674" s="10">
        <v>33.49</v>
      </c>
      <c r="G674" s="9">
        <f t="shared" si="40"/>
        <v>205.53580999999977</v>
      </c>
      <c r="H674" s="11" t="s">
        <v>581</v>
      </c>
      <c r="I674" s="8"/>
      <c r="J674" s="7">
        <f t="shared" si="44"/>
        <v>320.17</v>
      </c>
      <c r="K674">
        <f t="shared" si="41"/>
        <v>320.17</v>
      </c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 spans="1:27" ht="14" x14ac:dyDescent="0.15">
      <c r="A675" s="9">
        <v>674</v>
      </c>
      <c r="B675" s="9" t="s">
        <v>137</v>
      </c>
      <c r="C675" s="9" t="s">
        <v>23</v>
      </c>
      <c r="D675" s="10">
        <v>421.31</v>
      </c>
      <c r="E675" s="10">
        <v>421.31</v>
      </c>
      <c r="F675" s="10">
        <v>6.65</v>
      </c>
      <c r="G675" s="9">
        <f t="shared" si="40"/>
        <v>205.95711999999978</v>
      </c>
      <c r="H675" s="11" t="s">
        <v>581</v>
      </c>
      <c r="I675" s="8"/>
      <c r="K675">
        <f t="shared" si="41"/>
        <v>421.31</v>
      </c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 spans="1:27" ht="14" x14ac:dyDescent="0.15">
      <c r="A676" s="9">
        <v>675</v>
      </c>
      <c r="B676" s="9" t="s">
        <v>138</v>
      </c>
      <c r="C676" s="9" t="s">
        <v>23</v>
      </c>
      <c r="D676" s="10">
        <v>323.38</v>
      </c>
      <c r="E676" s="10">
        <v>323.38</v>
      </c>
      <c r="F676" s="10">
        <v>8.74</v>
      </c>
      <c r="G676" s="9">
        <f t="shared" si="40"/>
        <v>206.28049999999976</v>
      </c>
      <c r="H676" s="11" t="s">
        <v>581</v>
      </c>
      <c r="I676" s="8"/>
      <c r="K676">
        <f t="shared" si="41"/>
        <v>323.38</v>
      </c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 spans="1:27" ht="14" x14ac:dyDescent="0.15">
      <c r="A677" s="9">
        <v>676</v>
      </c>
      <c r="B677" s="9" t="s">
        <v>139</v>
      </c>
      <c r="C677" s="9" t="s">
        <v>19</v>
      </c>
      <c r="D677" s="10">
        <v>255.8</v>
      </c>
      <c r="E677" s="10">
        <v>264.3</v>
      </c>
      <c r="F677" s="10">
        <v>0.46</v>
      </c>
      <c r="G677" s="9">
        <f t="shared" si="40"/>
        <v>206.54479999999975</v>
      </c>
      <c r="H677" s="11" t="s">
        <v>581</v>
      </c>
      <c r="I677" s="8"/>
      <c r="J677" s="7">
        <f t="shared" ref="J677:J678" si="45">D677+8.5</f>
        <v>264.3</v>
      </c>
      <c r="K677">
        <f t="shared" si="41"/>
        <v>264.3</v>
      </c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 spans="1:27" ht="14" x14ac:dyDescent="0.15">
      <c r="A678" s="9">
        <v>677</v>
      </c>
      <c r="B678" s="9" t="s">
        <v>140</v>
      </c>
      <c r="C678" s="9" t="s">
        <v>28</v>
      </c>
      <c r="D678" s="10">
        <v>203.31</v>
      </c>
      <c r="E678" s="10">
        <v>211.81</v>
      </c>
      <c r="F678" s="10">
        <v>29.35</v>
      </c>
      <c r="G678" s="9">
        <f t="shared" si="40"/>
        <v>206.75660999999977</v>
      </c>
      <c r="H678" s="11" t="s">
        <v>581</v>
      </c>
      <c r="I678" s="8"/>
      <c r="J678" s="7">
        <f t="shared" si="45"/>
        <v>211.81</v>
      </c>
      <c r="K678">
        <f t="shared" si="41"/>
        <v>211.81</v>
      </c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 spans="1:27" ht="14" x14ac:dyDescent="0.15">
      <c r="A679" s="9">
        <v>678</v>
      </c>
      <c r="B679" s="9" t="s">
        <v>141</v>
      </c>
      <c r="C679" s="9" t="s">
        <v>23</v>
      </c>
      <c r="D679" s="10">
        <v>352.89</v>
      </c>
      <c r="E679" s="10">
        <v>352.89</v>
      </c>
      <c r="F679" s="10">
        <v>0.44</v>
      </c>
      <c r="G679" s="9">
        <f t="shared" si="40"/>
        <v>207.10949999999977</v>
      </c>
      <c r="H679" s="11" t="s">
        <v>581</v>
      </c>
      <c r="I679" s="8"/>
      <c r="K679">
        <f t="shared" si="41"/>
        <v>352.89</v>
      </c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 spans="1:27" ht="14" x14ac:dyDescent="0.15">
      <c r="A680" s="9">
        <v>679</v>
      </c>
      <c r="B680" s="9" t="s">
        <v>142</v>
      </c>
      <c r="C680" s="9" t="s">
        <v>23</v>
      </c>
      <c r="D680" s="10">
        <v>351.42</v>
      </c>
      <c r="E680" s="10">
        <v>351.42</v>
      </c>
      <c r="F680" s="10">
        <v>7.0000000000000007E-2</v>
      </c>
      <c r="G680" s="9">
        <f t="shared" si="40"/>
        <v>207.46091999999976</v>
      </c>
      <c r="H680" s="11" t="s">
        <v>581</v>
      </c>
      <c r="I680" s="8"/>
      <c r="K680">
        <f t="shared" si="41"/>
        <v>351.42</v>
      </c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 spans="1:27" ht="14" x14ac:dyDescent="0.15">
      <c r="A681" s="9">
        <v>680</v>
      </c>
      <c r="B681" s="9" t="s">
        <v>143</v>
      </c>
      <c r="C681" s="9" t="s">
        <v>19</v>
      </c>
      <c r="D681" s="10">
        <v>190.18</v>
      </c>
      <c r="E681" s="10">
        <v>198.68</v>
      </c>
      <c r="F681" s="10">
        <v>22.67</v>
      </c>
      <c r="G681" s="9">
        <f t="shared" si="40"/>
        <v>207.65959999999976</v>
      </c>
      <c r="H681" s="11" t="s">
        <v>581</v>
      </c>
      <c r="I681" s="8"/>
      <c r="J681" s="7">
        <f t="shared" ref="J681:J682" si="46">D681+8.5</f>
        <v>198.68</v>
      </c>
      <c r="K681">
        <f t="shared" si="41"/>
        <v>198.68</v>
      </c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 spans="1:27" ht="14" x14ac:dyDescent="0.15">
      <c r="A682" s="9">
        <v>681</v>
      </c>
      <c r="B682" s="9" t="s">
        <v>144</v>
      </c>
      <c r="C682" s="9" t="s">
        <v>19</v>
      </c>
      <c r="D682" s="10">
        <v>42.84</v>
      </c>
      <c r="E682" s="10">
        <v>51.34</v>
      </c>
      <c r="F682" s="10">
        <v>19.98</v>
      </c>
      <c r="G682" s="9">
        <f t="shared" si="40"/>
        <v>207.71093999999977</v>
      </c>
      <c r="H682" s="11" t="s">
        <v>581</v>
      </c>
      <c r="I682" s="8"/>
      <c r="J682" s="7">
        <f t="shared" si="46"/>
        <v>51.34</v>
      </c>
      <c r="K682">
        <f t="shared" si="41"/>
        <v>51.34</v>
      </c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 spans="1:27" ht="14" x14ac:dyDescent="0.15">
      <c r="A683" s="9">
        <v>682</v>
      </c>
      <c r="B683" s="9" t="s">
        <v>145</v>
      </c>
      <c r="C683" s="9" t="s">
        <v>10</v>
      </c>
      <c r="D683" s="10">
        <v>50.16</v>
      </c>
      <c r="E683" s="10">
        <v>50.16</v>
      </c>
      <c r="F683" s="10">
        <v>9.76</v>
      </c>
      <c r="G683" s="9">
        <f t="shared" si="40"/>
        <v>207.76109999999977</v>
      </c>
      <c r="H683" s="11" t="s">
        <v>581</v>
      </c>
      <c r="I683" s="8"/>
      <c r="K683">
        <f t="shared" si="41"/>
        <v>50.16</v>
      </c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 spans="1:27" ht="14" x14ac:dyDescent="0.15">
      <c r="A684" s="9">
        <v>683</v>
      </c>
      <c r="B684" s="9" t="s">
        <v>146</v>
      </c>
      <c r="C684" s="9" t="s">
        <v>10</v>
      </c>
      <c r="D684" s="10">
        <v>79.430000000000007</v>
      </c>
      <c r="E684" s="10">
        <v>79.430000000000007</v>
      </c>
      <c r="F684" s="10">
        <v>9.42</v>
      </c>
      <c r="G684" s="9">
        <f t="shared" si="40"/>
        <v>207.84052999999977</v>
      </c>
      <c r="H684" s="11" t="s">
        <v>581</v>
      </c>
      <c r="I684" s="8"/>
      <c r="K684">
        <f t="shared" si="41"/>
        <v>79.430000000000007</v>
      </c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 spans="1:27" ht="14" x14ac:dyDescent="0.15">
      <c r="A685" s="9">
        <v>684</v>
      </c>
      <c r="B685" s="9" t="s">
        <v>147</v>
      </c>
      <c r="C685" s="9" t="s">
        <v>19</v>
      </c>
      <c r="D685" s="10">
        <v>346.06</v>
      </c>
      <c r="E685" s="10">
        <v>354.56</v>
      </c>
      <c r="F685" s="10">
        <v>53.2</v>
      </c>
      <c r="G685" s="9">
        <f t="shared" si="40"/>
        <v>208.19508999999977</v>
      </c>
      <c r="H685" s="11" t="s">
        <v>581</v>
      </c>
      <c r="I685" s="8"/>
      <c r="J685" s="7">
        <f>D685+8.5</f>
        <v>354.56</v>
      </c>
      <c r="K685">
        <f t="shared" si="41"/>
        <v>354.56</v>
      </c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 spans="1:27" ht="14" x14ac:dyDescent="0.15">
      <c r="A686" s="9">
        <v>685</v>
      </c>
      <c r="B686" s="9" t="s">
        <v>148</v>
      </c>
      <c r="C686" s="9" t="s">
        <v>23</v>
      </c>
      <c r="D686" s="10">
        <v>301.04000000000002</v>
      </c>
      <c r="E686" s="10">
        <v>301.04000000000002</v>
      </c>
      <c r="F686" s="10">
        <v>0.06</v>
      </c>
      <c r="G686" s="9">
        <f t="shared" si="40"/>
        <v>208.49612999999977</v>
      </c>
      <c r="H686" s="11" t="s">
        <v>581</v>
      </c>
      <c r="I686" s="8"/>
      <c r="K686">
        <f t="shared" si="41"/>
        <v>301.04000000000002</v>
      </c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 spans="1:27" ht="14" x14ac:dyDescent="0.15">
      <c r="A687" s="9">
        <v>686</v>
      </c>
      <c r="B687" s="9" t="s">
        <v>149</v>
      </c>
      <c r="C687" s="9" t="s">
        <v>23</v>
      </c>
      <c r="D687" s="10">
        <v>350.03</v>
      </c>
      <c r="E687" s="10">
        <v>350.03</v>
      </c>
      <c r="F687" s="10">
        <v>0.74</v>
      </c>
      <c r="G687" s="9">
        <f t="shared" si="40"/>
        <v>208.84615999999977</v>
      </c>
      <c r="H687" s="11" t="s">
        <v>581</v>
      </c>
      <c r="I687" s="8"/>
      <c r="K687">
        <f t="shared" si="41"/>
        <v>350.03</v>
      </c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 spans="1:27" ht="14" x14ac:dyDescent="0.15">
      <c r="A688" s="9">
        <v>687</v>
      </c>
      <c r="B688" s="9" t="s">
        <v>150</v>
      </c>
      <c r="C688" s="9" t="s">
        <v>23</v>
      </c>
      <c r="D688" s="10">
        <v>356.38</v>
      </c>
      <c r="E688" s="10">
        <v>356.38</v>
      </c>
      <c r="F688" s="10">
        <v>2.2999999999999998</v>
      </c>
      <c r="G688" s="9">
        <f t="shared" si="40"/>
        <v>209.20253999999977</v>
      </c>
      <c r="H688" s="11" t="s">
        <v>581</v>
      </c>
      <c r="I688" s="8"/>
      <c r="K688">
        <f t="shared" si="41"/>
        <v>356.38</v>
      </c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 spans="1:27" ht="14" x14ac:dyDescent="0.15">
      <c r="A689" s="9">
        <v>688</v>
      </c>
      <c r="B689" s="9" t="s">
        <v>151</v>
      </c>
      <c r="C689" s="9" t="s">
        <v>16</v>
      </c>
      <c r="D689" s="10">
        <v>268.95999999999998</v>
      </c>
      <c r="E689" s="10">
        <v>268.95999999999998</v>
      </c>
      <c r="F689" s="10">
        <v>13.74</v>
      </c>
      <c r="G689" s="9">
        <f t="shared" si="40"/>
        <v>209.47149999999976</v>
      </c>
      <c r="H689" s="11" t="s">
        <v>581</v>
      </c>
      <c r="I689" s="8"/>
      <c r="K689">
        <f t="shared" si="41"/>
        <v>268.95999999999998</v>
      </c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 spans="1:27" ht="14" x14ac:dyDescent="0.15">
      <c r="A690" s="9">
        <v>689</v>
      </c>
      <c r="B690" s="9" t="s">
        <v>152</v>
      </c>
      <c r="C690" s="9" t="s">
        <v>16</v>
      </c>
      <c r="D690" s="10">
        <v>284.20999999999998</v>
      </c>
      <c r="E690" s="10">
        <v>284.20999999999998</v>
      </c>
      <c r="F690" s="10">
        <v>8.43</v>
      </c>
      <c r="G690" s="9">
        <f t="shared" si="40"/>
        <v>209.75570999999977</v>
      </c>
      <c r="H690" s="11" t="s">
        <v>581</v>
      </c>
      <c r="I690" s="8"/>
      <c r="K690">
        <f t="shared" si="41"/>
        <v>284.20999999999998</v>
      </c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 spans="1:27" ht="14" x14ac:dyDescent="0.15">
      <c r="A691" s="9">
        <v>690</v>
      </c>
      <c r="B691" s="9" t="s">
        <v>153</v>
      </c>
      <c r="C691" s="9" t="s">
        <v>23</v>
      </c>
      <c r="D691" s="10">
        <v>296.14</v>
      </c>
      <c r="E691" s="10">
        <v>296.14</v>
      </c>
      <c r="F691" s="10">
        <v>0.31</v>
      </c>
      <c r="G691" s="9">
        <f t="shared" si="40"/>
        <v>210.05184999999977</v>
      </c>
      <c r="H691" s="11" t="s">
        <v>581</v>
      </c>
      <c r="I691" s="8"/>
      <c r="K691">
        <f t="shared" si="41"/>
        <v>296.14</v>
      </c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 spans="1:27" ht="14" x14ac:dyDescent="0.15">
      <c r="A692" s="9">
        <v>691</v>
      </c>
      <c r="B692" s="9" t="s">
        <v>154</v>
      </c>
      <c r="C692" s="9" t="s">
        <v>23</v>
      </c>
      <c r="D692" s="10">
        <v>277.8</v>
      </c>
      <c r="E692" s="10">
        <v>277.8</v>
      </c>
      <c r="F692" s="10">
        <v>0.06</v>
      </c>
      <c r="G692" s="9">
        <f t="shared" si="40"/>
        <v>210.32964999999979</v>
      </c>
      <c r="H692" s="11" t="s">
        <v>581</v>
      </c>
      <c r="I692" s="8"/>
      <c r="K692">
        <f t="shared" si="41"/>
        <v>277.8</v>
      </c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 spans="1:27" ht="14" x14ac:dyDescent="0.15">
      <c r="A693" s="9">
        <v>692</v>
      </c>
      <c r="B693" s="9" t="s">
        <v>155</v>
      </c>
      <c r="C693" s="9" t="s">
        <v>28</v>
      </c>
      <c r="D693" s="10">
        <v>285.08</v>
      </c>
      <c r="E693" s="10">
        <v>293.58</v>
      </c>
      <c r="F693" s="10">
        <v>14.75</v>
      </c>
      <c r="G693" s="9">
        <f t="shared" si="40"/>
        <v>210.62322999999978</v>
      </c>
      <c r="H693" s="11" t="s">
        <v>581</v>
      </c>
      <c r="I693" s="8"/>
      <c r="J693" s="7">
        <f>D693+8.5</f>
        <v>293.58</v>
      </c>
      <c r="K693">
        <f t="shared" si="41"/>
        <v>293.58</v>
      </c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 spans="1:27" ht="14" x14ac:dyDescent="0.15">
      <c r="A694" s="9">
        <v>693</v>
      </c>
      <c r="B694" s="9" t="s">
        <v>156</v>
      </c>
      <c r="C694" s="9" t="s">
        <v>23</v>
      </c>
      <c r="D694" s="10">
        <v>251.79</v>
      </c>
      <c r="E694" s="10">
        <v>251.79</v>
      </c>
      <c r="F694" s="10">
        <v>0.18</v>
      </c>
      <c r="G694" s="9">
        <f t="shared" si="40"/>
        <v>210.87501999999978</v>
      </c>
      <c r="H694" s="11" t="s">
        <v>581</v>
      </c>
      <c r="I694" s="8"/>
      <c r="K694">
        <f t="shared" si="41"/>
        <v>251.79</v>
      </c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 spans="1:27" ht="14" x14ac:dyDescent="0.15">
      <c r="A695" s="9">
        <v>694</v>
      </c>
      <c r="B695" s="9" t="s">
        <v>157</v>
      </c>
      <c r="C695" s="9" t="s">
        <v>16</v>
      </c>
      <c r="D695" s="10">
        <v>262.43</v>
      </c>
      <c r="E695" s="10">
        <v>262.43</v>
      </c>
      <c r="F695" s="10">
        <v>7.41</v>
      </c>
      <c r="G695" s="9">
        <f t="shared" si="40"/>
        <v>211.13744999999977</v>
      </c>
      <c r="H695" s="11" t="s">
        <v>581</v>
      </c>
      <c r="I695" s="8"/>
      <c r="K695">
        <f t="shared" si="41"/>
        <v>262.43</v>
      </c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 spans="1:27" ht="14" x14ac:dyDescent="0.15">
      <c r="A696" s="9">
        <v>695</v>
      </c>
      <c r="B696" s="9" t="s">
        <v>158</v>
      </c>
      <c r="C696" s="9" t="s">
        <v>23</v>
      </c>
      <c r="D696" s="10">
        <v>249.38</v>
      </c>
      <c r="E696" s="10">
        <v>249.38</v>
      </c>
      <c r="F696" s="10">
        <v>0.2</v>
      </c>
      <c r="G696" s="9">
        <f t="shared" si="40"/>
        <v>211.38682999999978</v>
      </c>
      <c r="H696" s="11" t="s">
        <v>581</v>
      </c>
      <c r="I696" s="8"/>
      <c r="K696">
        <f t="shared" si="41"/>
        <v>249.38</v>
      </c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 spans="1:27" ht="14" x14ac:dyDescent="0.15">
      <c r="A697" s="9">
        <v>696</v>
      </c>
      <c r="B697" s="9" t="s">
        <v>159</v>
      </c>
      <c r="C697" s="9" t="s">
        <v>23</v>
      </c>
      <c r="D697" s="10">
        <v>267.11</v>
      </c>
      <c r="E697" s="10">
        <v>267.11</v>
      </c>
      <c r="F697" s="10">
        <v>0.91</v>
      </c>
      <c r="G697" s="9">
        <f t="shared" si="40"/>
        <v>211.65393999999978</v>
      </c>
      <c r="H697" s="11" t="s">
        <v>581</v>
      </c>
      <c r="I697" s="8"/>
      <c r="K697">
        <f t="shared" si="41"/>
        <v>267.11</v>
      </c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 spans="1:27" ht="14" x14ac:dyDescent="0.15">
      <c r="A698" s="9">
        <v>697</v>
      </c>
      <c r="B698" s="9" t="s">
        <v>160</v>
      </c>
      <c r="C698" s="9" t="s">
        <v>28</v>
      </c>
      <c r="D698" s="10">
        <v>254.78</v>
      </c>
      <c r="E698" s="10">
        <v>263.27999999999997</v>
      </c>
      <c r="F698" s="10">
        <v>14.84</v>
      </c>
      <c r="G698" s="9">
        <f t="shared" si="40"/>
        <v>211.91721999999979</v>
      </c>
      <c r="H698" s="11" t="s">
        <v>581</v>
      </c>
      <c r="I698" s="8"/>
      <c r="J698" s="7">
        <f>D698+8.5</f>
        <v>263.27999999999997</v>
      </c>
      <c r="K698">
        <f t="shared" si="41"/>
        <v>263.27999999999997</v>
      </c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 spans="1:27" ht="14" x14ac:dyDescent="0.15">
      <c r="A699" s="9">
        <v>698</v>
      </c>
      <c r="B699" s="9" t="s">
        <v>161</v>
      </c>
      <c r="C699" s="9" t="s">
        <v>16</v>
      </c>
      <c r="D699" s="10">
        <v>254.87</v>
      </c>
      <c r="E699" s="10">
        <v>254.87</v>
      </c>
      <c r="F699" s="10">
        <v>5.04</v>
      </c>
      <c r="G699" s="9">
        <f t="shared" si="40"/>
        <v>212.1720899999998</v>
      </c>
      <c r="H699" s="11" t="s">
        <v>581</v>
      </c>
      <c r="I699" s="8"/>
      <c r="K699">
        <f t="shared" si="41"/>
        <v>254.87</v>
      </c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 spans="1:27" ht="14" x14ac:dyDescent="0.15">
      <c r="A700" s="9">
        <v>699</v>
      </c>
      <c r="B700" s="9" t="s">
        <v>162</v>
      </c>
      <c r="C700" s="9" t="s">
        <v>23</v>
      </c>
      <c r="D700" s="10">
        <v>259.54000000000002</v>
      </c>
      <c r="E700" s="10">
        <v>259.54000000000002</v>
      </c>
      <c r="F700" s="10">
        <v>2.6</v>
      </c>
      <c r="G700" s="9">
        <f t="shared" si="40"/>
        <v>212.43162999999979</v>
      </c>
      <c r="H700" s="11" t="s">
        <v>581</v>
      </c>
      <c r="I700" s="8"/>
      <c r="K700">
        <f t="shared" si="41"/>
        <v>259.54000000000002</v>
      </c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 spans="1:27" ht="14" x14ac:dyDescent="0.15">
      <c r="A701" s="9">
        <v>700</v>
      </c>
      <c r="B701" s="9" t="s">
        <v>163</v>
      </c>
      <c r="C701" s="9" t="s">
        <v>23</v>
      </c>
      <c r="D701" s="10">
        <v>259.36</v>
      </c>
      <c r="E701" s="10">
        <v>259.36</v>
      </c>
      <c r="F701" s="10">
        <v>1.48</v>
      </c>
      <c r="G701" s="9">
        <f t="shared" si="40"/>
        <v>212.69098999999977</v>
      </c>
      <c r="H701" s="11" t="s">
        <v>581</v>
      </c>
      <c r="I701" s="8"/>
      <c r="K701">
        <f t="shared" si="41"/>
        <v>259.36</v>
      </c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 spans="1:27" ht="14" x14ac:dyDescent="0.15">
      <c r="A702" s="9">
        <v>701</v>
      </c>
      <c r="B702" s="9" t="s">
        <v>164</v>
      </c>
      <c r="C702" s="9" t="s">
        <v>19</v>
      </c>
      <c r="D702" s="10">
        <v>276.39999999999998</v>
      </c>
      <c r="E702" s="10">
        <v>284.89999999999998</v>
      </c>
      <c r="F702" s="10">
        <v>40.82</v>
      </c>
      <c r="G702" s="9">
        <f t="shared" si="40"/>
        <v>212.97588999999977</v>
      </c>
      <c r="H702" s="11" t="s">
        <v>581</v>
      </c>
      <c r="I702" s="8"/>
      <c r="J702" s="7">
        <f>D702+8.5</f>
        <v>284.89999999999998</v>
      </c>
      <c r="K702">
        <f t="shared" si="41"/>
        <v>284.89999999999998</v>
      </c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 spans="1:27" ht="14" x14ac:dyDescent="0.15">
      <c r="A703" s="9">
        <v>702</v>
      </c>
      <c r="B703" s="9" t="s">
        <v>165</v>
      </c>
      <c r="C703" s="9" t="s">
        <v>23</v>
      </c>
      <c r="D703" s="10">
        <v>275.56</v>
      </c>
      <c r="E703" s="10">
        <v>275.56</v>
      </c>
      <c r="F703" s="10">
        <v>0.28000000000000003</v>
      </c>
      <c r="G703" s="9">
        <f t="shared" si="40"/>
        <v>213.25144999999978</v>
      </c>
      <c r="H703" s="11" t="s">
        <v>581</v>
      </c>
      <c r="I703" s="8"/>
      <c r="K703">
        <f t="shared" si="41"/>
        <v>275.56</v>
      </c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 spans="1:27" ht="14" x14ac:dyDescent="0.15">
      <c r="A704" s="9">
        <v>703</v>
      </c>
      <c r="B704" s="9" t="s">
        <v>166</v>
      </c>
      <c r="C704" s="9" t="s">
        <v>23</v>
      </c>
      <c r="D704" s="10">
        <v>292.01</v>
      </c>
      <c r="E704" s="10">
        <v>292.01</v>
      </c>
      <c r="F704" s="10">
        <v>0.64</v>
      </c>
      <c r="G704" s="9">
        <f t="shared" si="40"/>
        <v>213.54345999999978</v>
      </c>
      <c r="H704" s="11" t="s">
        <v>581</v>
      </c>
      <c r="I704" s="8"/>
      <c r="K704">
        <f t="shared" si="41"/>
        <v>292.01</v>
      </c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 spans="1:27" ht="14" x14ac:dyDescent="0.15">
      <c r="A705" s="9">
        <v>704</v>
      </c>
      <c r="B705" s="9" t="s">
        <v>167</v>
      </c>
      <c r="C705" s="9" t="s">
        <v>28</v>
      </c>
      <c r="D705" s="10">
        <v>275.49</v>
      </c>
      <c r="E705" s="10">
        <v>283.99</v>
      </c>
      <c r="F705" s="10">
        <v>25.29</v>
      </c>
      <c r="G705" s="9">
        <f t="shared" si="40"/>
        <v>213.82744999999977</v>
      </c>
      <c r="H705" s="11" t="s">
        <v>581</v>
      </c>
      <c r="I705" s="8"/>
      <c r="J705" s="7">
        <f>D705+8.5</f>
        <v>283.99</v>
      </c>
      <c r="K705">
        <f t="shared" si="41"/>
        <v>283.99</v>
      </c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 spans="1:27" ht="14" x14ac:dyDescent="0.15">
      <c r="A706" s="9">
        <v>705</v>
      </c>
      <c r="B706" s="9" t="s">
        <v>168</v>
      </c>
      <c r="C706" s="9" t="s">
        <v>23</v>
      </c>
      <c r="D706" s="10">
        <v>203.7</v>
      </c>
      <c r="E706" s="10">
        <v>203.7</v>
      </c>
      <c r="F706" s="10">
        <v>0.15</v>
      </c>
      <c r="G706" s="9">
        <f t="shared" si="40"/>
        <v>214.03114999999977</v>
      </c>
      <c r="H706" s="11" t="s">
        <v>581</v>
      </c>
      <c r="I706" s="8"/>
      <c r="K706">
        <f t="shared" si="41"/>
        <v>203.7</v>
      </c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 spans="1:27" ht="14" x14ac:dyDescent="0.15">
      <c r="A707" s="9">
        <v>706</v>
      </c>
      <c r="B707" s="9" t="s">
        <v>169</v>
      </c>
      <c r="C707" s="9" t="s">
        <v>19</v>
      </c>
      <c r="D707" s="10">
        <v>261.86</v>
      </c>
      <c r="E707" s="10">
        <v>270.36</v>
      </c>
      <c r="F707" s="10">
        <v>59.43</v>
      </c>
      <c r="G707" s="9">
        <f t="shared" si="40"/>
        <v>214.30150999999978</v>
      </c>
      <c r="H707" s="11" t="s">
        <v>581</v>
      </c>
      <c r="I707" s="8"/>
      <c r="J707" s="7">
        <f>D707+8.5</f>
        <v>270.36</v>
      </c>
      <c r="K707">
        <f t="shared" si="41"/>
        <v>270.36</v>
      </c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 spans="1:27" ht="14" x14ac:dyDescent="0.15">
      <c r="A708" s="9">
        <v>707</v>
      </c>
      <c r="B708" s="9" t="s">
        <v>170</v>
      </c>
      <c r="C708" s="9" t="s">
        <v>23</v>
      </c>
      <c r="D708" s="10">
        <v>179.17</v>
      </c>
      <c r="E708" s="10">
        <v>179.17</v>
      </c>
      <c r="F708" s="10">
        <v>0.34</v>
      </c>
      <c r="G708" s="9">
        <f t="shared" ref="G708:G771" si="47">E708/1000+G707</f>
        <v>214.48067999999978</v>
      </c>
      <c r="H708" s="11" t="s">
        <v>581</v>
      </c>
      <c r="I708" s="8"/>
      <c r="K708">
        <f t="shared" ref="K708:K771" si="48">IF(J708&lt;&gt;"",J708,D708)</f>
        <v>179.17</v>
      </c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 spans="1:27" ht="14" x14ac:dyDescent="0.15">
      <c r="A709" s="9">
        <v>708</v>
      </c>
      <c r="B709" s="9" t="s">
        <v>171</v>
      </c>
      <c r="C709" s="9" t="s">
        <v>19</v>
      </c>
      <c r="D709" s="10">
        <v>230.87</v>
      </c>
      <c r="E709" s="10">
        <v>239.37</v>
      </c>
      <c r="F709" s="10">
        <v>41.09</v>
      </c>
      <c r="G709" s="9">
        <f t="shared" si="47"/>
        <v>214.72004999999979</v>
      </c>
      <c r="H709" s="11" t="s">
        <v>581</v>
      </c>
      <c r="I709" s="8"/>
      <c r="J709" s="7">
        <f t="shared" ref="J709:J711" si="49">D709+8.5</f>
        <v>239.37</v>
      </c>
      <c r="K709">
        <f t="shared" si="48"/>
        <v>239.37</v>
      </c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 spans="1:27" ht="14" x14ac:dyDescent="0.15">
      <c r="A710" s="9">
        <v>709</v>
      </c>
      <c r="B710" s="9" t="s">
        <v>172</v>
      </c>
      <c r="C710" s="9" t="s">
        <v>19</v>
      </c>
      <c r="D710" s="10">
        <v>315.62</v>
      </c>
      <c r="E710" s="10">
        <v>324.12</v>
      </c>
      <c r="F710" s="10">
        <v>54.53</v>
      </c>
      <c r="G710" s="9">
        <f t="shared" si="47"/>
        <v>215.04416999999978</v>
      </c>
      <c r="H710" s="11" t="s">
        <v>581</v>
      </c>
      <c r="I710" s="8"/>
      <c r="J710" s="7">
        <f t="shared" si="49"/>
        <v>324.12</v>
      </c>
      <c r="K710">
        <f t="shared" si="48"/>
        <v>324.12</v>
      </c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 spans="1:27" ht="14" x14ac:dyDescent="0.15">
      <c r="A711" s="9">
        <v>710</v>
      </c>
      <c r="B711" s="9" t="s">
        <v>173</v>
      </c>
      <c r="C711" s="9" t="s">
        <v>28</v>
      </c>
      <c r="D711" s="10">
        <v>214.08</v>
      </c>
      <c r="E711" s="10">
        <v>222.58</v>
      </c>
      <c r="F711" s="10">
        <v>28.15</v>
      </c>
      <c r="G711" s="9">
        <f t="shared" si="47"/>
        <v>215.26674999999977</v>
      </c>
      <c r="H711" s="11" t="s">
        <v>581</v>
      </c>
      <c r="I711" s="8"/>
      <c r="J711" s="7">
        <f t="shared" si="49"/>
        <v>222.58</v>
      </c>
      <c r="K711">
        <f t="shared" si="48"/>
        <v>222.58</v>
      </c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 spans="1:27" ht="14" x14ac:dyDescent="0.15">
      <c r="A712" s="9">
        <v>711</v>
      </c>
      <c r="B712" s="9" t="s">
        <v>174</v>
      </c>
      <c r="C712" s="9" t="s">
        <v>23</v>
      </c>
      <c r="D712" s="10">
        <v>303.45</v>
      </c>
      <c r="E712" s="10">
        <v>303.45</v>
      </c>
      <c r="F712" s="10">
        <v>0.08</v>
      </c>
      <c r="G712" s="9">
        <f t="shared" si="47"/>
        <v>215.57019999999977</v>
      </c>
      <c r="H712" s="11" t="s">
        <v>581</v>
      </c>
      <c r="I712" s="8"/>
      <c r="K712">
        <f t="shared" si="48"/>
        <v>303.45</v>
      </c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 spans="1:27" ht="14" x14ac:dyDescent="0.15">
      <c r="A713" s="9">
        <v>712</v>
      </c>
      <c r="B713" s="9" t="s">
        <v>175</v>
      </c>
      <c r="C713" s="9" t="s">
        <v>23</v>
      </c>
      <c r="D713" s="10">
        <v>338.55</v>
      </c>
      <c r="E713" s="10">
        <v>338.55</v>
      </c>
      <c r="F713" s="10">
        <v>0.23</v>
      </c>
      <c r="G713" s="9">
        <f t="shared" si="47"/>
        <v>215.90874999999977</v>
      </c>
      <c r="H713" s="11" t="s">
        <v>581</v>
      </c>
      <c r="I713" s="8"/>
      <c r="K713">
        <f t="shared" si="48"/>
        <v>338.55</v>
      </c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 spans="1:27" ht="14" x14ac:dyDescent="0.15">
      <c r="A714" s="9">
        <v>713</v>
      </c>
      <c r="B714" s="9" t="s">
        <v>176</v>
      </c>
      <c r="C714" s="9" t="s">
        <v>19</v>
      </c>
      <c r="D714" s="10">
        <v>217.38</v>
      </c>
      <c r="E714" s="10">
        <v>225.88</v>
      </c>
      <c r="F714" s="10">
        <v>30.58</v>
      </c>
      <c r="G714" s="9">
        <f t="shared" si="47"/>
        <v>216.13462999999976</v>
      </c>
      <c r="H714" s="11" t="s">
        <v>581</v>
      </c>
      <c r="I714" s="8"/>
      <c r="J714" s="7">
        <f t="shared" ref="J714:J716" si="50">D714+8.5</f>
        <v>225.88</v>
      </c>
      <c r="K714">
        <f t="shared" si="48"/>
        <v>225.88</v>
      </c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 spans="1:27" ht="14" x14ac:dyDescent="0.15">
      <c r="A715" s="9">
        <v>714</v>
      </c>
      <c r="B715" s="9" t="s">
        <v>177</v>
      </c>
      <c r="C715" s="9" t="s">
        <v>19</v>
      </c>
      <c r="D715" s="10">
        <v>313.27999999999997</v>
      </c>
      <c r="E715" s="10">
        <v>321.77999999999997</v>
      </c>
      <c r="F715" s="10">
        <v>19.5</v>
      </c>
      <c r="G715" s="9">
        <f t="shared" si="47"/>
        <v>216.45640999999975</v>
      </c>
      <c r="H715" s="11" t="s">
        <v>581</v>
      </c>
      <c r="I715" s="8"/>
      <c r="J715" s="7">
        <f t="shared" si="50"/>
        <v>321.77999999999997</v>
      </c>
      <c r="K715">
        <f t="shared" si="48"/>
        <v>321.77999999999997</v>
      </c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 spans="1:27" ht="14" x14ac:dyDescent="0.15">
      <c r="A716" s="9">
        <v>715</v>
      </c>
      <c r="B716" s="9" t="s">
        <v>178</v>
      </c>
      <c r="C716" s="9" t="s">
        <v>28</v>
      </c>
      <c r="D716" s="10">
        <v>379.26</v>
      </c>
      <c r="E716" s="10">
        <v>387.76</v>
      </c>
      <c r="F716" s="9">
        <v>11.433599063372</v>
      </c>
      <c r="G716" s="9">
        <f t="shared" si="47"/>
        <v>216.84416999999974</v>
      </c>
      <c r="H716" s="11" t="s">
        <v>581</v>
      </c>
      <c r="I716" s="8"/>
      <c r="J716" s="7">
        <f t="shared" si="50"/>
        <v>387.76</v>
      </c>
      <c r="K716">
        <f t="shared" si="48"/>
        <v>387.76</v>
      </c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 spans="1:27" ht="14" x14ac:dyDescent="0.15">
      <c r="A717" s="9">
        <v>716</v>
      </c>
      <c r="B717" s="9" t="s">
        <v>179</v>
      </c>
      <c r="C717" s="9" t="s">
        <v>23</v>
      </c>
      <c r="D717" s="10">
        <v>264.39</v>
      </c>
      <c r="E717" s="10">
        <v>264.39</v>
      </c>
      <c r="F717" s="9">
        <v>0.96087858924427405</v>
      </c>
      <c r="G717" s="9">
        <f t="shared" si="47"/>
        <v>217.10855999999973</v>
      </c>
      <c r="H717" s="11" t="s">
        <v>581</v>
      </c>
      <c r="I717" s="8"/>
      <c r="K717">
        <f t="shared" si="48"/>
        <v>264.39</v>
      </c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 spans="1:27" ht="14" x14ac:dyDescent="0.15">
      <c r="A718" s="9">
        <v>717</v>
      </c>
      <c r="B718" s="9" t="s">
        <v>180</v>
      </c>
      <c r="C718" s="9" t="s">
        <v>19</v>
      </c>
      <c r="D718" s="10">
        <v>172.18</v>
      </c>
      <c r="E718" s="10">
        <v>180.68</v>
      </c>
      <c r="F718" s="9">
        <v>28.977741798259601</v>
      </c>
      <c r="G718" s="9">
        <f t="shared" si="47"/>
        <v>217.28923999999972</v>
      </c>
      <c r="H718" s="11" t="s">
        <v>581</v>
      </c>
      <c r="I718" s="8"/>
      <c r="J718" s="7">
        <f t="shared" ref="J718:J720" si="51">D718+8.5</f>
        <v>180.68</v>
      </c>
      <c r="K718">
        <f t="shared" si="48"/>
        <v>180.68</v>
      </c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 spans="1:27" ht="14" x14ac:dyDescent="0.15">
      <c r="A719" s="9">
        <v>718</v>
      </c>
      <c r="B719" s="9" t="s">
        <v>681</v>
      </c>
      <c r="C719" s="9" t="s">
        <v>19</v>
      </c>
      <c r="D719" s="10">
        <v>337.38</v>
      </c>
      <c r="E719" s="10">
        <v>345.88</v>
      </c>
      <c r="F719" s="10">
        <v>2.5099999999999998</v>
      </c>
      <c r="G719" s="9">
        <f t="shared" si="47"/>
        <v>217.63511999999972</v>
      </c>
      <c r="H719" s="11" t="s">
        <v>581</v>
      </c>
      <c r="I719" s="8"/>
      <c r="J719" s="7">
        <f t="shared" si="51"/>
        <v>345.88</v>
      </c>
      <c r="K719">
        <f t="shared" si="48"/>
        <v>345.88</v>
      </c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 spans="1:27" ht="14" x14ac:dyDescent="0.15">
      <c r="A720" s="9">
        <v>719</v>
      </c>
      <c r="B720" s="9" t="s">
        <v>182</v>
      </c>
      <c r="C720" s="9" t="s">
        <v>19</v>
      </c>
      <c r="D720" s="10">
        <v>273.45999999999998</v>
      </c>
      <c r="E720" s="10">
        <v>281.95999999999998</v>
      </c>
      <c r="F720" s="10">
        <v>57.55</v>
      </c>
      <c r="G720" s="9">
        <f t="shared" si="47"/>
        <v>217.91707999999971</v>
      </c>
      <c r="H720" s="11" t="s">
        <v>581</v>
      </c>
      <c r="I720" s="8"/>
      <c r="J720" s="7">
        <f t="shared" si="51"/>
        <v>281.95999999999998</v>
      </c>
      <c r="K720">
        <f t="shared" si="48"/>
        <v>281.95999999999998</v>
      </c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 spans="1:27" ht="14" x14ac:dyDescent="0.15">
      <c r="A721" s="9">
        <v>720</v>
      </c>
      <c r="B721" s="9" t="s">
        <v>183</v>
      </c>
      <c r="C721" s="9" t="s">
        <v>23</v>
      </c>
      <c r="D721" s="10">
        <v>200.62</v>
      </c>
      <c r="E721" s="10">
        <v>200.62</v>
      </c>
      <c r="F721" s="10">
        <v>1.29</v>
      </c>
      <c r="G721" s="9">
        <f t="shared" si="47"/>
        <v>218.1176999999997</v>
      </c>
      <c r="H721" s="11" t="s">
        <v>581</v>
      </c>
      <c r="I721" s="8"/>
      <c r="K721">
        <f t="shared" si="48"/>
        <v>200.62</v>
      </c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 spans="1:27" ht="14" x14ac:dyDescent="0.15">
      <c r="A722" s="9">
        <v>721</v>
      </c>
      <c r="B722" s="9" t="s">
        <v>184</v>
      </c>
      <c r="C722" s="9" t="s">
        <v>19</v>
      </c>
      <c r="D722" s="10">
        <v>238.64</v>
      </c>
      <c r="E722" s="10">
        <v>247.14</v>
      </c>
      <c r="F722" s="10">
        <v>46.55</v>
      </c>
      <c r="G722" s="9">
        <f t="shared" si="47"/>
        <v>218.3648399999997</v>
      </c>
      <c r="H722" s="11" t="s">
        <v>581</v>
      </c>
      <c r="I722" s="8"/>
      <c r="J722" s="7">
        <f>D722+8.5</f>
        <v>247.14</v>
      </c>
      <c r="K722">
        <f t="shared" si="48"/>
        <v>247.14</v>
      </c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 spans="1:27" ht="14" x14ac:dyDescent="0.15">
      <c r="A723" s="9">
        <v>722</v>
      </c>
      <c r="B723" s="9" t="s">
        <v>185</v>
      </c>
      <c r="C723" s="9" t="s">
        <v>23</v>
      </c>
      <c r="D723" s="10">
        <v>200.56</v>
      </c>
      <c r="E723" s="10">
        <v>200.56</v>
      </c>
      <c r="F723" s="10">
        <v>2.59</v>
      </c>
      <c r="G723" s="9">
        <f t="shared" si="47"/>
        <v>218.5653999999997</v>
      </c>
      <c r="H723" s="11" t="s">
        <v>581</v>
      </c>
      <c r="I723" s="8"/>
      <c r="K723">
        <f t="shared" si="48"/>
        <v>200.56</v>
      </c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 spans="1:27" ht="14" x14ac:dyDescent="0.15">
      <c r="A724" s="9">
        <v>723</v>
      </c>
      <c r="B724" s="9" t="s">
        <v>186</v>
      </c>
      <c r="C724" s="9" t="s">
        <v>28</v>
      </c>
      <c r="D724" s="10">
        <v>347.28</v>
      </c>
      <c r="E724" s="10">
        <v>355.78</v>
      </c>
      <c r="F724" s="10">
        <v>23.51</v>
      </c>
      <c r="G724" s="9">
        <f t="shared" si="47"/>
        <v>218.92117999999971</v>
      </c>
      <c r="H724" s="11" t="s">
        <v>581</v>
      </c>
      <c r="I724" s="8"/>
      <c r="J724" s="7">
        <f>D724+8.5</f>
        <v>355.78</v>
      </c>
      <c r="K724">
        <f t="shared" si="48"/>
        <v>355.78</v>
      </c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 spans="1:27" ht="14" x14ac:dyDescent="0.15">
      <c r="A725" s="9">
        <v>724</v>
      </c>
      <c r="B725" s="9" t="s">
        <v>187</v>
      </c>
      <c r="C725" s="9" t="s">
        <v>23</v>
      </c>
      <c r="D725" s="10">
        <v>244.32</v>
      </c>
      <c r="E725" s="10">
        <v>244.32</v>
      </c>
      <c r="F725" s="10">
        <v>0.36</v>
      </c>
      <c r="G725" s="9">
        <f t="shared" si="47"/>
        <v>219.1654999999997</v>
      </c>
      <c r="H725" s="11" t="s">
        <v>581</v>
      </c>
      <c r="I725" s="8"/>
      <c r="K725">
        <f t="shared" si="48"/>
        <v>244.32</v>
      </c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 spans="1:27" ht="14" x14ac:dyDescent="0.15">
      <c r="A726" s="9">
        <v>725</v>
      </c>
      <c r="B726" s="9" t="s">
        <v>188</v>
      </c>
      <c r="C726" s="9" t="s">
        <v>23</v>
      </c>
      <c r="D726" s="10">
        <v>395.19</v>
      </c>
      <c r="E726" s="10">
        <v>395.19</v>
      </c>
      <c r="F726" s="10">
        <v>0.38</v>
      </c>
      <c r="G726" s="9">
        <f t="shared" si="47"/>
        <v>219.56068999999971</v>
      </c>
      <c r="H726" s="11" t="s">
        <v>581</v>
      </c>
      <c r="I726" s="8"/>
      <c r="K726">
        <f t="shared" si="48"/>
        <v>395.19</v>
      </c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 spans="1:27" ht="14" x14ac:dyDescent="0.15">
      <c r="A727" s="9">
        <v>726</v>
      </c>
      <c r="B727" s="9" t="s">
        <v>189</v>
      </c>
      <c r="C727" s="9" t="s">
        <v>16</v>
      </c>
      <c r="D727" s="10">
        <v>265.45999999999998</v>
      </c>
      <c r="E727" s="10">
        <v>265.45999999999998</v>
      </c>
      <c r="F727" s="10">
        <v>0.51</v>
      </c>
      <c r="G727" s="9">
        <f t="shared" si="47"/>
        <v>219.8261499999997</v>
      </c>
      <c r="H727" s="11" t="s">
        <v>581</v>
      </c>
      <c r="I727" s="8"/>
      <c r="K727">
        <f t="shared" si="48"/>
        <v>265.45999999999998</v>
      </c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 spans="1:27" ht="14" x14ac:dyDescent="0.15">
      <c r="A728" s="9">
        <v>727</v>
      </c>
      <c r="B728" s="9" t="s">
        <v>190</v>
      </c>
      <c r="C728" s="9" t="s">
        <v>23</v>
      </c>
      <c r="D728" s="10">
        <v>234.03</v>
      </c>
      <c r="E728" s="10">
        <v>234.03</v>
      </c>
      <c r="F728" s="10">
        <v>1.19</v>
      </c>
      <c r="G728" s="9">
        <f t="shared" si="47"/>
        <v>220.06017999999969</v>
      </c>
      <c r="H728" s="11" t="s">
        <v>581</v>
      </c>
      <c r="I728" s="8"/>
      <c r="K728">
        <f t="shared" si="48"/>
        <v>234.03</v>
      </c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 spans="1:27" ht="14" x14ac:dyDescent="0.15">
      <c r="A729" s="9">
        <v>728</v>
      </c>
      <c r="B729" s="9" t="s">
        <v>191</v>
      </c>
      <c r="C729" s="9" t="s">
        <v>14</v>
      </c>
      <c r="D729" s="10">
        <v>27.7</v>
      </c>
      <c r="E729" s="10">
        <v>36.200000000000003</v>
      </c>
      <c r="F729" s="10">
        <v>63.66</v>
      </c>
      <c r="G729" s="9">
        <f t="shared" si="47"/>
        <v>220.0963799999997</v>
      </c>
      <c r="H729" s="11" t="s">
        <v>581</v>
      </c>
      <c r="I729" s="8"/>
      <c r="J729" s="7">
        <f>D729+8.5</f>
        <v>36.200000000000003</v>
      </c>
      <c r="K729">
        <f t="shared" si="48"/>
        <v>36.200000000000003</v>
      </c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 spans="1:27" ht="14" x14ac:dyDescent="0.15">
      <c r="A730" s="9">
        <v>729</v>
      </c>
      <c r="B730" s="9" t="s">
        <v>192</v>
      </c>
      <c r="C730" s="9" t="s">
        <v>10</v>
      </c>
      <c r="D730" s="10">
        <v>65.45</v>
      </c>
      <c r="E730" s="10">
        <v>65.45</v>
      </c>
      <c r="F730" s="10">
        <v>0.98</v>
      </c>
      <c r="G730" s="9">
        <f t="shared" si="47"/>
        <v>220.1618299999997</v>
      </c>
      <c r="H730" s="11" t="s">
        <v>581</v>
      </c>
      <c r="I730" s="8"/>
      <c r="K730">
        <f t="shared" si="48"/>
        <v>65.45</v>
      </c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 spans="1:27" ht="14" x14ac:dyDescent="0.15">
      <c r="A731" s="9">
        <v>730</v>
      </c>
      <c r="B731" s="9" t="s">
        <v>193</v>
      </c>
      <c r="C731" s="9" t="s">
        <v>10</v>
      </c>
      <c r="D731" s="10">
        <v>26.81</v>
      </c>
      <c r="E731" s="10">
        <v>26.81</v>
      </c>
      <c r="F731" s="10">
        <v>0.05</v>
      </c>
      <c r="G731" s="9">
        <f t="shared" si="47"/>
        <v>220.18863999999971</v>
      </c>
      <c r="H731" s="11" t="s">
        <v>581</v>
      </c>
      <c r="I731" s="8"/>
      <c r="K731">
        <f t="shared" si="48"/>
        <v>26.81</v>
      </c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 spans="1:27" ht="14" x14ac:dyDescent="0.15">
      <c r="A732" s="9">
        <v>731</v>
      </c>
      <c r="B732" s="9" t="s">
        <v>194</v>
      </c>
      <c r="C732" s="9" t="s">
        <v>14</v>
      </c>
      <c r="D732" s="10">
        <v>265.16000000000003</v>
      </c>
      <c r="E732" s="10">
        <v>273.66000000000003</v>
      </c>
      <c r="F732" s="10">
        <v>69.84</v>
      </c>
      <c r="G732" s="9">
        <f t="shared" si="47"/>
        <v>220.46229999999971</v>
      </c>
      <c r="H732" s="11" t="s">
        <v>581</v>
      </c>
      <c r="I732" s="8"/>
      <c r="J732" s="7">
        <f>D732+8.5</f>
        <v>273.66000000000003</v>
      </c>
      <c r="K732">
        <f t="shared" si="48"/>
        <v>273.66000000000003</v>
      </c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 spans="1:27" ht="14" x14ac:dyDescent="0.15">
      <c r="A733" s="9">
        <v>732</v>
      </c>
      <c r="B733" s="9" t="s">
        <v>195</v>
      </c>
      <c r="C733" s="9" t="s">
        <v>23</v>
      </c>
      <c r="D733" s="10">
        <v>250.92</v>
      </c>
      <c r="E733" s="10">
        <v>250.92</v>
      </c>
      <c r="F733" s="10">
        <v>2.41</v>
      </c>
      <c r="G733" s="9">
        <f t="shared" si="47"/>
        <v>220.71321999999972</v>
      </c>
      <c r="H733" s="11" t="s">
        <v>581</v>
      </c>
      <c r="I733" s="8"/>
      <c r="K733">
        <f t="shared" si="48"/>
        <v>250.92</v>
      </c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 spans="1:27" ht="14" x14ac:dyDescent="0.15">
      <c r="A734" s="9">
        <v>733</v>
      </c>
      <c r="B734" s="9" t="s">
        <v>196</v>
      </c>
      <c r="C734" s="9" t="s">
        <v>16</v>
      </c>
      <c r="D734" s="10">
        <v>244.71</v>
      </c>
      <c r="E734" s="10">
        <v>244.71</v>
      </c>
      <c r="F734" s="10">
        <v>11.29</v>
      </c>
      <c r="G734" s="9">
        <f t="shared" si="47"/>
        <v>220.95792999999972</v>
      </c>
      <c r="H734" s="11" t="s">
        <v>581</v>
      </c>
      <c r="I734" s="8"/>
      <c r="K734">
        <f t="shared" si="48"/>
        <v>244.71</v>
      </c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 spans="1:27" ht="14" x14ac:dyDescent="0.15">
      <c r="A735" s="9">
        <v>734</v>
      </c>
      <c r="B735" s="9" t="s">
        <v>197</v>
      </c>
      <c r="C735" s="9" t="s">
        <v>14</v>
      </c>
      <c r="D735" s="10">
        <v>38.35</v>
      </c>
      <c r="E735" s="10">
        <v>46.85</v>
      </c>
      <c r="F735" s="10">
        <v>65.239999999999995</v>
      </c>
      <c r="G735" s="9">
        <f t="shared" si="47"/>
        <v>221.00477999999973</v>
      </c>
      <c r="H735" s="11" t="s">
        <v>581</v>
      </c>
      <c r="I735" s="8"/>
      <c r="J735" s="7">
        <f>D735+8.5</f>
        <v>46.85</v>
      </c>
      <c r="K735">
        <f t="shared" si="48"/>
        <v>46.85</v>
      </c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 spans="1:27" ht="14" x14ac:dyDescent="0.15">
      <c r="A736" s="9">
        <v>735</v>
      </c>
      <c r="B736" s="9" t="s">
        <v>198</v>
      </c>
      <c r="C736" s="9" t="s">
        <v>10</v>
      </c>
      <c r="D736" s="10">
        <v>130.65</v>
      </c>
      <c r="E736" s="10">
        <v>130.65</v>
      </c>
      <c r="F736" s="10">
        <v>2.06</v>
      </c>
      <c r="G736" s="9">
        <f t="shared" si="47"/>
        <v>221.13542999999973</v>
      </c>
      <c r="H736" s="11" t="s">
        <v>581</v>
      </c>
      <c r="I736" s="8"/>
      <c r="K736">
        <f t="shared" si="48"/>
        <v>130.65</v>
      </c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 spans="1:27" ht="14" x14ac:dyDescent="0.15">
      <c r="A737" s="9">
        <v>736</v>
      </c>
      <c r="B737" s="9" t="s">
        <v>199</v>
      </c>
      <c r="C737" s="9" t="s">
        <v>10</v>
      </c>
      <c r="D737" s="10">
        <v>36.42</v>
      </c>
      <c r="E737" s="10">
        <v>36.42</v>
      </c>
      <c r="F737" s="10">
        <v>3.82</v>
      </c>
      <c r="G737" s="9">
        <f t="shared" si="47"/>
        <v>221.17184999999972</v>
      </c>
      <c r="H737" s="11" t="s">
        <v>581</v>
      </c>
      <c r="I737" s="8"/>
      <c r="K737">
        <f t="shared" si="48"/>
        <v>36.42</v>
      </c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 spans="1:27" ht="14" x14ac:dyDescent="0.15">
      <c r="A738" s="9">
        <v>737</v>
      </c>
      <c r="B738" s="9" t="s">
        <v>200</v>
      </c>
      <c r="C738" s="9" t="s">
        <v>14</v>
      </c>
      <c r="D738" s="10">
        <v>252.31</v>
      </c>
      <c r="E738" s="10">
        <v>260.81</v>
      </c>
      <c r="F738" s="10">
        <v>71.34</v>
      </c>
      <c r="G738" s="9">
        <f t="shared" si="47"/>
        <v>221.43265999999971</v>
      </c>
      <c r="H738" s="11" t="s">
        <v>581</v>
      </c>
      <c r="I738" s="8"/>
      <c r="J738" s="7">
        <f t="shared" ref="J738:J739" si="52">D738+8.5</f>
        <v>260.81</v>
      </c>
      <c r="K738">
        <f t="shared" si="48"/>
        <v>260.81</v>
      </c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 spans="1:27" ht="14" x14ac:dyDescent="0.15">
      <c r="A739" s="9">
        <v>738</v>
      </c>
      <c r="B739" s="9" t="s">
        <v>201</v>
      </c>
      <c r="C739" s="9" t="s">
        <v>28</v>
      </c>
      <c r="D739" s="10">
        <v>245.87</v>
      </c>
      <c r="E739" s="10">
        <v>254.37</v>
      </c>
      <c r="F739" s="9">
        <v>18.877988978164499</v>
      </c>
      <c r="G739" s="9">
        <f t="shared" si="47"/>
        <v>221.68702999999971</v>
      </c>
      <c r="H739" s="11" t="s">
        <v>581</v>
      </c>
      <c r="I739" s="8"/>
      <c r="J739" s="7">
        <f t="shared" si="52"/>
        <v>254.37</v>
      </c>
      <c r="K739">
        <f t="shared" si="48"/>
        <v>254.37</v>
      </c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 spans="1:27" ht="14" x14ac:dyDescent="0.15">
      <c r="A740" s="9">
        <v>739</v>
      </c>
      <c r="B740" s="9" t="s">
        <v>202</v>
      </c>
      <c r="C740" s="9" t="s">
        <v>23</v>
      </c>
      <c r="D740" s="10">
        <v>271.32</v>
      </c>
      <c r="E740" s="10">
        <v>271.32</v>
      </c>
      <c r="F740" s="9">
        <v>1.9480202499385699</v>
      </c>
      <c r="G740" s="9">
        <f t="shared" si="47"/>
        <v>221.95834999999971</v>
      </c>
      <c r="H740" s="11" t="s">
        <v>581</v>
      </c>
      <c r="I740" s="8"/>
      <c r="K740">
        <f t="shared" si="48"/>
        <v>271.32</v>
      </c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 spans="1:27" ht="14" x14ac:dyDescent="0.15">
      <c r="A741" s="9">
        <v>740</v>
      </c>
      <c r="B741" s="9" t="s">
        <v>203</v>
      </c>
      <c r="C741" s="9" t="s">
        <v>16</v>
      </c>
      <c r="D741" s="10">
        <v>339.78</v>
      </c>
      <c r="E741" s="10">
        <v>339.78</v>
      </c>
      <c r="F741" s="9">
        <v>4.6599531676585597</v>
      </c>
      <c r="G741" s="9">
        <f t="shared" si="47"/>
        <v>222.2981299999997</v>
      </c>
      <c r="H741" s="11" t="s">
        <v>581</v>
      </c>
      <c r="I741" s="8"/>
      <c r="K741">
        <f t="shared" si="48"/>
        <v>339.78</v>
      </c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 spans="1:27" ht="14" x14ac:dyDescent="0.15">
      <c r="A742" s="9">
        <v>741</v>
      </c>
      <c r="B742" s="9" t="s">
        <v>204</v>
      </c>
      <c r="C742" s="9" t="s">
        <v>23</v>
      </c>
      <c r="D742" s="10">
        <v>348.3</v>
      </c>
      <c r="E742" s="10">
        <v>348.3</v>
      </c>
      <c r="F742" s="9">
        <v>0.51387526188071297</v>
      </c>
      <c r="G742" s="9">
        <f t="shared" si="47"/>
        <v>222.6464299999997</v>
      </c>
      <c r="H742" s="11" t="s">
        <v>581</v>
      </c>
      <c r="I742" s="8"/>
      <c r="K742">
        <f t="shared" si="48"/>
        <v>348.3</v>
      </c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 spans="1:27" ht="14" x14ac:dyDescent="0.15">
      <c r="A743" s="9">
        <v>742</v>
      </c>
      <c r="B743" s="9" t="s">
        <v>205</v>
      </c>
      <c r="C743" s="9" t="s">
        <v>23</v>
      </c>
      <c r="D743" s="10">
        <v>306.12</v>
      </c>
      <c r="E743" s="10">
        <v>306.12</v>
      </c>
      <c r="F743" s="9">
        <v>1.52406465641752</v>
      </c>
      <c r="G743" s="9">
        <f t="shared" si="47"/>
        <v>222.95254999999969</v>
      </c>
      <c r="H743" s="11" t="s">
        <v>581</v>
      </c>
      <c r="I743" s="8"/>
      <c r="K743">
        <f t="shared" si="48"/>
        <v>306.12</v>
      </c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 spans="1:27" ht="14" x14ac:dyDescent="0.15">
      <c r="A744" s="9">
        <v>743</v>
      </c>
      <c r="B744" s="9" t="s">
        <v>206</v>
      </c>
      <c r="C744" s="9" t="s">
        <v>28</v>
      </c>
      <c r="D744" s="10">
        <v>98.02</v>
      </c>
      <c r="E744" s="10">
        <v>106.52</v>
      </c>
      <c r="F744" s="9">
        <v>31.688365466421299</v>
      </c>
      <c r="G744" s="9">
        <f t="shared" si="47"/>
        <v>223.05906999999968</v>
      </c>
      <c r="H744" s="11" t="s">
        <v>581</v>
      </c>
      <c r="I744" s="8"/>
      <c r="J744" s="7">
        <f t="shared" ref="J744:J747" si="53">D744+8.5</f>
        <v>106.52</v>
      </c>
      <c r="K744">
        <f t="shared" si="48"/>
        <v>106.52</v>
      </c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 spans="1:27" ht="14" x14ac:dyDescent="0.15">
      <c r="A745" s="9">
        <v>744</v>
      </c>
      <c r="B745" s="9" t="s">
        <v>207</v>
      </c>
      <c r="C745" s="9" t="s">
        <v>19</v>
      </c>
      <c r="D745" s="10">
        <v>238.68</v>
      </c>
      <c r="E745" s="10">
        <v>247.18</v>
      </c>
      <c r="F745" s="9">
        <v>48.803520760064302</v>
      </c>
      <c r="G745" s="9">
        <f t="shared" si="47"/>
        <v>223.30624999999966</v>
      </c>
      <c r="H745" s="11" t="s">
        <v>581</v>
      </c>
      <c r="I745" s="8"/>
      <c r="J745" s="7">
        <f t="shared" si="53"/>
        <v>247.18</v>
      </c>
      <c r="K745">
        <f t="shared" si="48"/>
        <v>247.18</v>
      </c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 spans="1:27" ht="14" x14ac:dyDescent="0.15">
      <c r="A746" s="9">
        <v>745</v>
      </c>
      <c r="B746" s="9" t="s">
        <v>208</v>
      </c>
      <c r="C746" s="9" t="s">
        <v>28</v>
      </c>
      <c r="D746" s="10">
        <v>91.35</v>
      </c>
      <c r="E746" s="10">
        <v>99.85</v>
      </c>
      <c r="F746" s="10">
        <v>25.92</v>
      </c>
      <c r="G746" s="9">
        <f t="shared" si="47"/>
        <v>223.40609999999967</v>
      </c>
      <c r="H746" s="11" t="s">
        <v>581</v>
      </c>
      <c r="I746" s="8"/>
      <c r="J746" s="7">
        <f t="shared" si="53"/>
        <v>99.85</v>
      </c>
      <c r="K746">
        <f t="shared" si="48"/>
        <v>99.85</v>
      </c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 spans="1:27" ht="14" x14ac:dyDescent="0.15">
      <c r="A747" s="9">
        <v>746</v>
      </c>
      <c r="B747" s="9" t="s">
        <v>209</v>
      </c>
      <c r="C747" s="9" t="s">
        <v>14</v>
      </c>
      <c r="D747" s="10">
        <v>37.049999999999997</v>
      </c>
      <c r="E747" s="10">
        <v>45.55</v>
      </c>
      <c r="F747" s="10">
        <v>62.45</v>
      </c>
      <c r="G747" s="9">
        <f t="shared" si="47"/>
        <v>223.45164999999966</v>
      </c>
      <c r="H747" s="11" t="s">
        <v>581</v>
      </c>
      <c r="I747" s="8"/>
      <c r="J747" s="7">
        <f t="shared" si="53"/>
        <v>45.55</v>
      </c>
      <c r="K747">
        <f t="shared" si="48"/>
        <v>45.55</v>
      </c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 spans="1:27" ht="14" x14ac:dyDescent="0.15">
      <c r="A748" s="9">
        <v>747</v>
      </c>
      <c r="B748" s="9" t="s">
        <v>682</v>
      </c>
      <c r="C748" s="9" t="s">
        <v>10</v>
      </c>
      <c r="D748" s="10">
        <v>60.41</v>
      </c>
      <c r="E748" s="10">
        <v>60.41</v>
      </c>
      <c r="F748" s="10">
        <v>1.49</v>
      </c>
      <c r="G748" s="9">
        <f t="shared" si="47"/>
        <v>223.51205999999965</v>
      </c>
      <c r="H748" s="11" t="s">
        <v>581</v>
      </c>
      <c r="I748" s="8"/>
      <c r="K748">
        <f t="shared" si="48"/>
        <v>60.41</v>
      </c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 spans="1:27" ht="14" x14ac:dyDescent="0.15">
      <c r="A749" s="9">
        <v>748</v>
      </c>
      <c r="B749" s="9" t="s">
        <v>683</v>
      </c>
      <c r="C749" s="9" t="s">
        <v>10</v>
      </c>
      <c r="D749" s="10">
        <v>29.55</v>
      </c>
      <c r="E749" s="10">
        <v>29.55</v>
      </c>
      <c r="F749" s="10">
        <v>1.9</v>
      </c>
      <c r="G749" s="9">
        <f t="shared" si="47"/>
        <v>223.54160999999965</v>
      </c>
      <c r="H749" s="11" t="s">
        <v>581</v>
      </c>
      <c r="I749" s="8"/>
      <c r="K749">
        <f t="shared" si="48"/>
        <v>29.55</v>
      </c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 spans="1:27" ht="14" x14ac:dyDescent="0.15">
      <c r="A750" s="9">
        <v>749</v>
      </c>
      <c r="B750" s="9" t="s">
        <v>212</v>
      </c>
      <c r="C750" s="9" t="s">
        <v>14</v>
      </c>
      <c r="D750" s="10">
        <v>269.01</v>
      </c>
      <c r="E750" s="10">
        <v>277.51</v>
      </c>
      <c r="F750" s="10">
        <v>50.3</v>
      </c>
      <c r="G750" s="9">
        <f t="shared" si="47"/>
        <v>223.81911999999966</v>
      </c>
      <c r="H750" s="11" t="s">
        <v>581</v>
      </c>
      <c r="I750" s="8"/>
      <c r="J750" s="7">
        <f>D750+8.5</f>
        <v>277.51</v>
      </c>
      <c r="K750">
        <f t="shared" si="48"/>
        <v>277.51</v>
      </c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 spans="1:27" ht="14" x14ac:dyDescent="0.15">
      <c r="A751" s="9">
        <v>750</v>
      </c>
      <c r="B751" s="9" t="s">
        <v>213</v>
      </c>
      <c r="C751" s="9" t="s">
        <v>23</v>
      </c>
      <c r="D751" s="10">
        <v>328.83</v>
      </c>
      <c r="E751" s="10">
        <v>328.83</v>
      </c>
      <c r="F751" s="10">
        <v>0.17</v>
      </c>
      <c r="G751" s="9">
        <f t="shared" si="47"/>
        <v>224.14794999999967</v>
      </c>
      <c r="H751" s="11" t="s">
        <v>581</v>
      </c>
      <c r="I751" s="8"/>
      <c r="K751">
        <f t="shared" si="48"/>
        <v>328.83</v>
      </c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 spans="1:27" ht="14" x14ac:dyDescent="0.15">
      <c r="A752" s="9">
        <v>751</v>
      </c>
      <c r="B752" s="9" t="s">
        <v>214</v>
      </c>
      <c r="C752" s="9" t="s">
        <v>16</v>
      </c>
      <c r="D752" s="10">
        <v>280.45999999999998</v>
      </c>
      <c r="E752" s="10">
        <v>280.45999999999998</v>
      </c>
      <c r="F752" s="10">
        <v>7.85</v>
      </c>
      <c r="G752" s="9">
        <f t="shared" si="47"/>
        <v>224.42840999999967</v>
      </c>
      <c r="H752" s="11" t="s">
        <v>581</v>
      </c>
      <c r="I752" s="8"/>
      <c r="K752">
        <f t="shared" si="48"/>
        <v>280.45999999999998</v>
      </c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 spans="1:27" ht="14" x14ac:dyDescent="0.15">
      <c r="A753" s="9">
        <v>752</v>
      </c>
      <c r="B753" s="9" t="s">
        <v>215</v>
      </c>
      <c r="C753" s="9" t="s">
        <v>19</v>
      </c>
      <c r="D753" s="10">
        <v>214.11</v>
      </c>
      <c r="E753" s="10">
        <v>222.61</v>
      </c>
      <c r="F753" s="10">
        <v>7.8</v>
      </c>
      <c r="G753" s="9">
        <f t="shared" si="47"/>
        <v>224.65101999999968</v>
      </c>
      <c r="H753" s="11" t="s">
        <v>581</v>
      </c>
      <c r="I753" s="8"/>
      <c r="J753" s="7">
        <f t="shared" ref="J753:J754" si="54">D753+8.5</f>
        <v>222.61</v>
      </c>
      <c r="K753">
        <f t="shared" si="48"/>
        <v>222.61</v>
      </c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 spans="1:27" ht="14" x14ac:dyDescent="0.15">
      <c r="A754" s="9">
        <v>753</v>
      </c>
      <c r="B754" s="9" t="s">
        <v>216</v>
      </c>
      <c r="C754" s="9" t="s">
        <v>19</v>
      </c>
      <c r="D754" s="10">
        <v>64.73</v>
      </c>
      <c r="E754" s="10">
        <v>73.23</v>
      </c>
      <c r="F754" s="10">
        <v>23.09</v>
      </c>
      <c r="G754" s="9">
        <f t="shared" si="47"/>
        <v>224.72424999999967</v>
      </c>
      <c r="H754" s="11" t="s">
        <v>581</v>
      </c>
      <c r="I754" s="8"/>
      <c r="J754" s="7">
        <f t="shared" si="54"/>
        <v>73.23</v>
      </c>
      <c r="K754">
        <f t="shared" si="48"/>
        <v>73.23</v>
      </c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 spans="1:27" ht="14" x14ac:dyDescent="0.15">
      <c r="A755" s="9">
        <v>754</v>
      </c>
      <c r="B755" s="9" t="s">
        <v>217</v>
      </c>
      <c r="C755" s="9" t="s">
        <v>10</v>
      </c>
      <c r="D755" s="10">
        <v>70.59</v>
      </c>
      <c r="E755" s="10">
        <v>70.59</v>
      </c>
      <c r="F755" s="10">
        <v>0.4</v>
      </c>
      <c r="G755" s="9">
        <f t="shared" si="47"/>
        <v>224.79483999999968</v>
      </c>
      <c r="H755" s="11" t="s">
        <v>581</v>
      </c>
      <c r="I755" s="8"/>
      <c r="K755">
        <f t="shared" si="48"/>
        <v>70.59</v>
      </c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 spans="1:27" ht="14" x14ac:dyDescent="0.15">
      <c r="A756" s="9">
        <v>755</v>
      </c>
      <c r="B756" s="9" t="s">
        <v>218</v>
      </c>
      <c r="C756" s="9" t="s">
        <v>10</v>
      </c>
      <c r="D756" s="10">
        <v>33.479999999999997</v>
      </c>
      <c r="E756" s="10">
        <v>33.479999999999997</v>
      </c>
      <c r="F756" s="10">
        <v>1.8</v>
      </c>
      <c r="G756" s="9">
        <f t="shared" si="47"/>
        <v>224.82831999999968</v>
      </c>
      <c r="H756" s="11" t="s">
        <v>581</v>
      </c>
      <c r="I756" s="8"/>
      <c r="K756">
        <f t="shared" si="48"/>
        <v>33.479999999999997</v>
      </c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 spans="1:27" ht="14" x14ac:dyDescent="0.15">
      <c r="A757" s="9">
        <v>756</v>
      </c>
      <c r="B757" s="9" t="s">
        <v>219</v>
      </c>
      <c r="C757" s="9" t="s">
        <v>14</v>
      </c>
      <c r="D757" s="10">
        <v>102.47</v>
      </c>
      <c r="E757" s="10">
        <v>110.97</v>
      </c>
      <c r="F757" s="10">
        <v>64.52</v>
      </c>
      <c r="G757" s="9">
        <f t="shared" si="47"/>
        <v>224.93928999999969</v>
      </c>
      <c r="H757" s="11" t="s">
        <v>581</v>
      </c>
      <c r="I757" s="8"/>
      <c r="J757" s="7">
        <f t="shared" ref="J757:J758" si="55">D757+8.5</f>
        <v>110.97</v>
      </c>
      <c r="K757">
        <f t="shared" si="48"/>
        <v>110.97</v>
      </c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 spans="1:27" ht="14" x14ac:dyDescent="0.15">
      <c r="A758" s="9">
        <v>757</v>
      </c>
      <c r="B758" s="9" t="s">
        <v>220</v>
      </c>
      <c r="C758" s="9" t="s">
        <v>19</v>
      </c>
      <c r="D758" s="10">
        <v>50.33</v>
      </c>
      <c r="E758" s="10">
        <v>58.83</v>
      </c>
      <c r="F758" s="10">
        <v>45.3</v>
      </c>
      <c r="G758" s="9">
        <f t="shared" si="47"/>
        <v>224.99811999999969</v>
      </c>
      <c r="H758" s="11" t="s">
        <v>581</v>
      </c>
      <c r="I758" s="8"/>
      <c r="J758" s="7">
        <f t="shared" si="55"/>
        <v>58.83</v>
      </c>
      <c r="K758">
        <f t="shared" si="48"/>
        <v>58.83</v>
      </c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 spans="1:27" ht="14" x14ac:dyDescent="0.15">
      <c r="A759" s="9">
        <v>758</v>
      </c>
      <c r="B759" s="9" t="s">
        <v>221</v>
      </c>
      <c r="C759" s="9" t="s">
        <v>10</v>
      </c>
      <c r="D759" s="10">
        <v>63.26</v>
      </c>
      <c r="E759" s="10">
        <v>63.26</v>
      </c>
      <c r="F759" s="10">
        <v>0.39</v>
      </c>
      <c r="G759" s="9">
        <f t="shared" si="47"/>
        <v>225.0613799999997</v>
      </c>
      <c r="H759" s="11" t="s">
        <v>581</v>
      </c>
      <c r="I759" s="8"/>
      <c r="K759">
        <f t="shared" si="48"/>
        <v>63.26</v>
      </c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 spans="1:27" ht="14" x14ac:dyDescent="0.15">
      <c r="A760" s="9">
        <v>759</v>
      </c>
      <c r="B760" s="9" t="s">
        <v>222</v>
      </c>
      <c r="C760" s="9" t="s">
        <v>10</v>
      </c>
      <c r="D760" s="10">
        <v>30.35</v>
      </c>
      <c r="E760" s="10">
        <v>30.35</v>
      </c>
      <c r="F760" s="10">
        <v>0.49</v>
      </c>
      <c r="G760" s="9">
        <f t="shared" si="47"/>
        <v>225.0917299999997</v>
      </c>
      <c r="H760" s="11" t="s">
        <v>581</v>
      </c>
      <c r="I760" s="8"/>
      <c r="K760">
        <f t="shared" si="48"/>
        <v>30.35</v>
      </c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 spans="1:27" ht="14" x14ac:dyDescent="0.15">
      <c r="A761" s="9">
        <v>760</v>
      </c>
      <c r="B761" s="9" t="s">
        <v>223</v>
      </c>
      <c r="C761" s="9" t="s">
        <v>14</v>
      </c>
      <c r="D761" s="10">
        <v>203.73</v>
      </c>
      <c r="E761" s="10">
        <v>212.23</v>
      </c>
      <c r="F761" s="10">
        <v>77.040000000000006</v>
      </c>
      <c r="G761" s="9">
        <f t="shared" si="47"/>
        <v>225.30395999999971</v>
      </c>
      <c r="H761" s="11" t="s">
        <v>581</v>
      </c>
      <c r="I761" s="8"/>
      <c r="J761" s="7">
        <f t="shared" ref="J761:J763" si="56">D761+8.5</f>
        <v>212.23</v>
      </c>
      <c r="K761">
        <f t="shared" si="48"/>
        <v>212.23</v>
      </c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 spans="1:27" ht="14" x14ac:dyDescent="0.15">
      <c r="A762" s="9">
        <v>761</v>
      </c>
      <c r="B762" s="9" t="s">
        <v>224</v>
      </c>
      <c r="C762" s="9" t="s">
        <v>28</v>
      </c>
      <c r="D762" s="10">
        <v>301.95</v>
      </c>
      <c r="E762" s="10">
        <v>310.45</v>
      </c>
      <c r="F762" s="10">
        <v>20.76</v>
      </c>
      <c r="G762" s="9">
        <f t="shared" si="47"/>
        <v>225.61440999999971</v>
      </c>
      <c r="H762" s="11" t="s">
        <v>581</v>
      </c>
      <c r="I762" s="8"/>
      <c r="J762" s="7">
        <f t="shared" si="56"/>
        <v>310.45</v>
      </c>
      <c r="K762">
        <f t="shared" si="48"/>
        <v>310.45</v>
      </c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 spans="1:27" ht="14" x14ac:dyDescent="0.15">
      <c r="A763" s="9">
        <v>762</v>
      </c>
      <c r="B763" s="9" t="s">
        <v>225</v>
      </c>
      <c r="C763" s="9" t="s">
        <v>19</v>
      </c>
      <c r="D763" s="10">
        <v>278.76</v>
      </c>
      <c r="E763" s="10">
        <v>287.26</v>
      </c>
      <c r="F763" s="10">
        <v>39.93</v>
      </c>
      <c r="G763" s="9">
        <f t="shared" si="47"/>
        <v>225.90166999999971</v>
      </c>
      <c r="H763" s="11" t="s">
        <v>581</v>
      </c>
      <c r="I763" s="8"/>
      <c r="J763" s="7">
        <f t="shared" si="56"/>
        <v>287.26</v>
      </c>
      <c r="K763">
        <f t="shared" si="48"/>
        <v>287.26</v>
      </c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 spans="1:27" ht="14" x14ac:dyDescent="0.15">
      <c r="A764" s="9">
        <v>763</v>
      </c>
      <c r="B764" s="9" t="s">
        <v>226</v>
      </c>
      <c r="C764" s="9" t="s">
        <v>23</v>
      </c>
      <c r="D764" s="10">
        <v>324.38</v>
      </c>
      <c r="E764" s="10">
        <v>324.38</v>
      </c>
      <c r="F764" s="10">
        <v>1.03</v>
      </c>
      <c r="G764" s="9">
        <f t="shared" si="47"/>
        <v>226.2260499999997</v>
      </c>
      <c r="H764" s="11" t="s">
        <v>581</v>
      </c>
      <c r="I764" s="8"/>
      <c r="K764">
        <f t="shared" si="48"/>
        <v>324.38</v>
      </c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 spans="1:27" ht="14" x14ac:dyDescent="0.15">
      <c r="A765" s="9">
        <v>764</v>
      </c>
      <c r="B765" s="9" t="s">
        <v>227</v>
      </c>
      <c r="C765" s="9" t="s">
        <v>28</v>
      </c>
      <c r="D765" s="10">
        <v>258.17</v>
      </c>
      <c r="E765" s="10">
        <v>266.67</v>
      </c>
      <c r="F765" s="10">
        <v>26.2</v>
      </c>
      <c r="G765" s="9">
        <f t="shared" si="47"/>
        <v>226.49271999999971</v>
      </c>
      <c r="H765" s="11" t="s">
        <v>581</v>
      </c>
      <c r="I765" s="8"/>
      <c r="J765" s="7">
        <f>D765+8.5</f>
        <v>266.67</v>
      </c>
      <c r="K765">
        <f t="shared" si="48"/>
        <v>266.67</v>
      </c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 spans="1:27" ht="14" x14ac:dyDescent="0.15">
      <c r="A766" s="9">
        <v>765</v>
      </c>
      <c r="B766" s="9" t="s">
        <v>228</v>
      </c>
      <c r="C766" s="9" t="s">
        <v>23</v>
      </c>
      <c r="D766" s="10">
        <v>346.8</v>
      </c>
      <c r="E766" s="10">
        <v>346.8</v>
      </c>
      <c r="F766" s="10">
        <v>0.47</v>
      </c>
      <c r="G766" s="9">
        <f t="shared" si="47"/>
        <v>226.83951999999971</v>
      </c>
      <c r="H766" s="11" t="s">
        <v>581</v>
      </c>
      <c r="I766" s="8"/>
      <c r="K766">
        <f t="shared" si="48"/>
        <v>346.8</v>
      </c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 spans="1:27" ht="14" x14ac:dyDescent="0.15">
      <c r="A767" s="9">
        <v>766</v>
      </c>
      <c r="B767" s="9" t="s">
        <v>229</v>
      </c>
      <c r="C767" s="9" t="s">
        <v>14</v>
      </c>
      <c r="D767" s="10">
        <v>71.14</v>
      </c>
      <c r="E767" s="10">
        <v>79.64</v>
      </c>
      <c r="F767" s="10">
        <v>58.39</v>
      </c>
      <c r="G767" s="9">
        <f t="shared" si="47"/>
        <v>226.91915999999972</v>
      </c>
      <c r="H767" s="11" t="s">
        <v>581</v>
      </c>
      <c r="I767" s="8"/>
      <c r="J767" s="7">
        <f>D767+8.5</f>
        <v>79.64</v>
      </c>
      <c r="K767">
        <f t="shared" si="48"/>
        <v>79.64</v>
      </c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 spans="1:27" ht="14" x14ac:dyDescent="0.15">
      <c r="A768" s="9">
        <v>767</v>
      </c>
      <c r="B768" s="9" t="s">
        <v>230</v>
      </c>
      <c r="C768" s="9" t="s">
        <v>10</v>
      </c>
      <c r="D768" s="10">
        <v>167.5</v>
      </c>
      <c r="E768" s="10">
        <v>167.5</v>
      </c>
      <c r="F768" s="10">
        <v>9.6300000000000008</v>
      </c>
      <c r="G768" s="9">
        <f t="shared" si="47"/>
        <v>227.08665999999971</v>
      </c>
      <c r="H768" s="11" t="s">
        <v>581</v>
      </c>
      <c r="I768" s="8"/>
      <c r="K768">
        <f t="shared" si="48"/>
        <v>167.5</v>
      </c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 spans="1:27" ht="14" x14ac:dyDescent="0.15">
      <c r="A769" s="9">
        <v>768</v>
      </c>
      <c r="B769" s="9" t="s">
        <v>231</v>
      </c>
      <c r="C769" s="9" t="s">
        <v>10</v>
      </c>
      <c r="D769" s="10">
        <v>32.64</v>
      </c>
      <c r="E769" s="10">
        <v>32.64</v>
      </c>
      <c r="F769" s="10">
        <v>14.46</v>
      </c>
      <c r="G769" s="9">
        <f t="shared" si="47"/>
        <v>227.1192999999997</v>
      </c>
      <c r="H769" s="11" t="s">
        <v>581</v>
      </c>
      <c r="I769" s="8"/>
      <c r="K769">
        <f t="shared" si="48"/>
        <v>32.64</v>
      </c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 spans="1:27" ht="14" x14ac:dyDescent="0.15">
      <c r="A770" s="9">
        <v>769</v>
      </c>
      <c r="B770" s="9" t="s">
        <v>232</v>
      </c>
      <c r="C770" s="9" t="s">
        <v>19</v>
      </c>
      <c r="D770" s="10">
        <v>272.7</v>
      </c>
      <c r="E770" s="10">
        <v>281.2</v>
      </c>
      <c r="F770" s="10">
        <v>48.22</v>
      </c>
      <c r="G770" s="9">
        <f t="shared" si="47"/>
        <v>227.40049999999971</v>
      </c>
      <c r="H770" s="11" t="s">
        <v>581</v>
      </c>
      <c r="I770" s="8"/>
      <c r="J770" s="7">
        <f>D770+8.5</f>
        <v>281.2</v>
      </c>
      <c r="K770">
        <f t="shared" si="48"/>
        <v>281.2</v>
      </c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 spans="1:27" ht="14" x14ac:dyDescent="0.15">
      <c r="A771" s="9">
        <v>770</v>
      </c>
      <c r="B771" s="9" t="s">
        <v>233</v>
      </c>
      <c r="C771" s="9" t="s">
        <v>23</v>
      </c>
      <c r="D771" s="10">
        <v>273.39</v>
      </c>
      <c r="E771" s="10">
        <v>273.39</v>
      </c>
      <c r="F771" s="10">
        <v>0.16</v>
      </c>
      <c r="G771" s="9">
        <f t="shared" si="47"/>
        <v>227.67388999999972</v>
      </c>
      <c r="H771" s="11" t="s">
        <v>581</v>
      </c>
      <c r="I771" s="8"/>
      <c r="K771">
        <f t="shared" si="48"/>
        <v>273.39</v>
      </c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 spans="1:27" ht="14" x14ac:dyDescent="0.15">
      <c r="A772" s="9">
        <v>771</v>
      </c>
      <c r="B772" s="9" t="s">
        <v>234</v>
      </c>
      <c r="C772" s="9" t="s">
        <v>14</v>
      </c>
      <c r="D772" s="10">
        <v>339.37</v>
      </c>
      <c r="E772" s="10">
        <v>347.87</v>
      </c>
      <c r="F772" s="10">
        <v>65.069999999999993</v>
      </c>
      <c r="G772" s="9">
        <f t="shared" ref="G772:G784" si="57">E772/1000+G771</f>
        <v>228.02175999999972</v>
      </c>
      <c r="H772" s="11" t="s">
        <v>581</v>
      </c>
      <c r="I772" s="8"/>
      <c r="J772" s="7">
        <f t="shared" ref="J772:J774" si="58">D772+8.5</f>
        <v>347.87</v>
      </c>
      <c r="K772">
        <f t="shared" ref="K772:K784" si="59">IF(J772&lt;&gt;"",J772,D772)</f>
        <v>347.87</v>
      </c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 spans="1:27" ht="14" x14ac:dyDescent="0.15">
      <c r="A773" s="9">
        <v>772</v>
      </c>
      <c r="B773" s="9" t="s">
        <v>235</v>
      </c>
      <c r="C773" s="9" t="s">
        <v>19</v>
      </c>
      <c r="D773" s="10">
        <v>164.25</v>
      </c>
      <c r="E773" s="10">
        <v>172.75</v>
      </c>
      <c r="F773" s="10">
        <v>31.14</v>
      </c>
      <c r="G773" s="9">
        <f t="shared" si="57"/>
        <v>228.19450999999972</v>
      </c>
      <c r="H773" s="11" t="s">
        <v>581</v>
      </c>
      <c r="I773" s="8"/>
      <c r="J773" s="7">
        <f t="shared" si="58"/>
        <v>172.75</v>
      </c>
      <c r="K773">
        <f t="shared" si="59"/>
        <v>172.75</v>
      </c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 spans="1:27" ht="14" x14ac:dyDescent="0.15">
      <c r="A774" s="9">
        <v>773</v>
      </c>
      <c r="B774" s="9" t="s">
        <v>236</v>
      </c>
      <c r="C774" s="9" t="s">
        <v>14</v>
      </c>
      <c r="D774" s="10">
        <v>25.72</v>
      </c>
      <c r="E774" s="10">
        <v>34.22</v>
      </c>
      <c r="F774" s="10">
        <v>70.22</v>
      </c>
      <c r="G774" s="9">
        <f t="shared" si="57"/>
        <v>228.22872999999973</v>
      </c>
      <c r="H774" s="11" t="s">
        <v>581</v>
      </c>
      <c r="I774" s="8"/>
      <c r="J774" s="7">
        <f t="shared" si="58"/>
        <v>34.22</v>
      </c>
      <c r="K774">
        <f t="shared" si="59"/>
        <v>34.22</v>
      </c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 spans="1:27" ht="14" x14ac:dyDescent="0.15">
      <c r="A775" s="9">
        <v>774</v>
      </c>
      <c r="B775" s="9" t="s">
        <v>237</v>
      </c>
      <c r="C775" s="9" t="s">
        <v>10</v>
      </c>
      <c r="D775" s="10">
        <v>59.25</v>
      </c>
      <c r="E775" s="10">
        <v>59.25</v>
      </c>
      <c r="F775" s="10">
        <v>0.41</v>
      </c>
      <c r="G775" s="9">
        <f t="shared" si="57"/>
        <v>228.28797999999972</v>
      </c>
      <c r="H775" s="11" t="s">
        <v>581</v>
      </c>
      <c r="I775" s="8"/>
      <c r="K775">
        <f t="shared" si="59"/>
        <v>59.25</v>
      </c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 spans="1:27" ht="14" x14ac:dyDescent="0.15">
      <c r="A776" s="9">
        <v>775</v>
      </c>
      <c r="B776" s="9" t="s">
        <v>238</v>
      </c>
      <c r="C776" s="9" t="s">
        <v>10</v>
      </c>
      <c r="D776" s="10">
        <v>70.2</v>
      </c>
      <c r="E776" s="10">
        <v>70.2</v>
      </c>
      <c r="F776" s="10">
        <v>4.12</v>
      </c>
      <c r="G776" s="9">
        <f t="shared" si="57"/>
        <v>228.35817999999972</v>
      </c>
      <c r="H776" s="11" t="s">
        <v>581</v>
      </c>
      <c r="I776" s="8"/>
      <c r="K776">
        <f t="shared" si="59"/>
        <v>70.2</v>
      </c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 spans="1:27" ht="14" x14ac:dyDescent="0.15">
      <c r="A777" s="9">
        <v>776</v>
      </c>
      <c r="B777" s="9" t="s">
        <v>239</v>
      </c>
      <c r="C777" s="9" t="s">
        <v>19</v>
      </c>
      <c r="D777" s="10">
        <v>374.86</v>
      </c>
      <c r="E777" s="10">
        <v>383.36</v>
      </c>
      <c r="F777" s="10">
        <v>33.770000000000003</v>
      </c>
      <c r="G777" s="9">
        <f t="shared" si="57"/>
        <v>228.74153999999973</v>
      </c>
      <c r="H777" s="11" t="s">
        <v>581</v>
      </c>
      <c r="I777" s="8"/>
      <c r="J777" s="7">
        <f t="shared" ref="J777:J778" si="60">D777+8.5</f>
        <v>383.36</v>
      </c>
      <c r="K777">
        <f t="shared" si="59"/>
        <v>383.36</v>
      </c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 spans="1:27" ht="14" x14ac:dyDescent="0.15">
      <c r="A778" s="9">
        <v>777</v>
      </c>
      <c r="B778" s="9" t="s">
        <v>240</v>
      </c>
      <c r="C778" s="9" t="s">
        <v>14</v>
      </c>
      <c r="D778" s="10">
        <v>47.38</v>
      </c>
      <c r="E778" s="10">
        <v>55.88</v>
      </c>
      <c r="F778" s="10">
        <v>64.17</v>
      </c>
      <c r="G778" s="9">
        <f t="shared" si="57"/>
        <v>228.79741999999973</v>
      </c>
      <c r="H778" s="11" t="s">
        <v>581</v>
      </c>
      <c r="I778" s="8"/>
      <c r="J778" s="7">
        <f t="shared" si="60"/>
        <v>55.88</v>
      </c>
      <c r="K778">
        <f t="shared" si="59"/>
        <v>55.88</v>
      </c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 spans="1:27" ht="14" x14ac:dyDescent="0.15">
      <c r="A779" s="9">
        <v>778</v>
      </c>
      <c r="B779" s="9" t="s">
        <v>241</v>
      </c>
      <c r="C779" s="9" t="s">
        <v>10</v>
      </c>
      <c r="D779" s="10">
        <v>114.54</v>
      </c>
      <c r="E779" s="10">
        <v>114.54</v>
      </c>
      <c r="F779" s="10">
        <v>1.1499999999999999</v>
      </c>
      <c r="G779" s="9">
        <f t="shared" si="57"/>
        <v>228.91195999999974</v>
      </c>
      <c r="H779" s="11" t="s">
        <v>581</v>
      </c>
      <c r="I779" s="8"/>
      <c r="K779">
        <f t="shared" si="59"/>
        <v>114.54</v>
      </c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 spans="1:27" ht="14" x14ac:dyDescent="0.15">
      <c r="A780" s="9">
        <v>779</v>
      </c>
      <c r="B780" s="9" t="s">
        <v>242</v>
      </c>
      <c r="C780" s="9" t="s">
        <v>10</v>
      </c>
      <c r="D780" s="10">
        <v>74.31</v>
      </c>
      <c r="E780" s="10">
        <v>74.31</v>
      </c>
      <c r="F780" s="10">
        <v>4.38</v>
      </c>
      <c r="G780" s="9">
        <f t="shared" si="57"/>
        <v>228.98626999999973</v>
      </c>
      <c r="H780" s="11" t="s">
        <v>581</v>
      </c>
      <c r="I780" s="8"/>
      <c r="K780">
        <f t="shared" si="59"/>
        <v>74.31</v>
      </c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 spans="1:27" ht="14" x14ac:dyDescent="0.15">
      <c r="A781" s="9">
        <v>780</v>
      </c>
      <c r="B781" s="9" t="s">
        <v>243</v>
      </c>
      <c r="C781" s="9" t="s">
        <v>10</v>
      </c>
      <c r="D781" s="10">
        <v>53.14</v>
      </c>
      <c r="E781" s="10">
        <v>53.14</v>
      </c>
      <c r="F781" s="10">
        <v>6.54</v>
      </c>
      <c r="G781" s="9">
        <f t="shared" si="57"/>
        <v>229.03940999999975</v>
      </c>
      <c r="H781" s="11" t="s">
        <v>581</v>
      </c>
      <c r="I781" s="8"/>
      <c r="K781">
        <f t="shared" si="59"/>
        <v>53.14</v>
      </c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 spans="1:27" ht="14" x14ac:dyDescent="0.15">
      <c r="A782" s="9">
        <v>781</v>
      </c>
      <c r="B782" s="9" t="s">
        <v>244</v>
      </c>
      <c r="C782" s="9" t="s">
        <v>14</v>
      </c>
      <c r="D782" s="10">
        <v>160</v>
      </c>
      <c r="E782" s="10">
        <v>168.5</v>
      </c>
      <c r="F782" s="10">
        <v>64.989999999999995</v>
      </c>
      <c r="G782" s="9">
        <f t="shared" si="57"/>
        <v>229.20790999999974</v>
      </c>
      <c r="H782" s="11" t="s">
        <v>581</v>
      </c>
      <c r="I782" s="8"/>
      <c r="J782" s="7">
        <f t="shared" ref="J782:J783" si="61">D782+8.5</f>
        <v>168.5</v>
      </c>
      <c r="K782">
        <f t="shared" si="59"/>
        <v>168.5</v>
      </c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 spans="1:27" ht="14" x14ac:dyDescent="0.15">
      <c r="A783" s="9">
        <v>782</v>
      </c>
      <c r="B783" s="9" t="s">
        <v>245</v>
      </c>
      <c r="C783" s="9" t="s">
        <v>14</v>
      </c>
      <c r="D783" s="10">
        <v>20</v>
      </c>
      <c r="E783" s="10">
        <v>28.5</v>
      </c>
      <c r="F783" s="14">
        <v>1</v>
      </c>
      <c r="G783" s="9">
        <f t="shared" si="57"/>
        <v>229.23640999999975</v>
      </c>
      <c r="H783" s="11" t="s">
        <v>581</v>
      </c>
      <c r="I783" s="8"/>
      <c r="J783" s="7">
        <f t="shared" si="61"/>
        <v>28.5</v>
      </c>
      <c r="K783">
        <f t="shared" si="59"/>
        <v>28.5</v>
      </c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 spans="1:27" ht="14" x14ac:dyDescent="0.15">
      <c r="A784" s="9">
        <v>783</v>
      </c>
      <c r="B784" s="8" t="s">
        <v>684</v>
      </c>
      <c r="C784" s="8" t="s">
        <v>685</v>
      </c>
      <c r="D784" s="8">
        <v>40</v>
      </c>
      <c r="E784" s="8">
        <v>40</v>
      </c>
      <c r="F784" s="8">
        <v>0</v>
      </c>
      <c r="G784" s="9">
        <f t="shared" si="57"/>
        <v>229.27640999999974</v>
      </c>
      <c r="H784" s="11" t="s">
        <v>581</v>
      </c>
      <c r="I784" s="8"/>
      <c r="K784">
        <f t="shared" si="59"/>
        <v>40</v>
      </c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 spans="1:27" x14ac:dyDescent="0.15">
      <c r="A785" s="2"/>
      <c r="B785" s="1"/>
      <c r="C785" s="1"/>
      <c r="D785" s="1"/>
      <c r="E785" s="1"/>
      <c r="F785" s="1"/>
      <c r="G785" s="2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 spans="1:27" x14ac:dyDescent="0.15">
      <c r="A786" s="2"/>
      <c r="B786" s="1"/>
      <c r="C786" s="1"/>
      <c r="D786" s="1"/>
      <c r="E786" s="1"/>
      <c r="F786" s="1"/>
      <c r="G786" s="2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 spans="1:27" x14ac:dyDescent="0.15">
      <c r="A787" s="2"/>
      <c r="B787" s="1"/>
      <c r="C787" s="1"/>
      <c r="D787" s="1"/>
      <c r="E787" s="1"/>
      <c r="F787" s="1"/>
      <c r="G787" s="2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 spans="1:27" x14ac:dyDescent="0.15">
      <c r="A788" s="2"/>
      <c r="B788" s="1"/>
      <c r="C788" s="1"/>
      <c r="D788" s="1"/>
      <c r="E788" s="1"/>
      <c r="F788" s="1"/>
      <c r="G788" s="2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 spans="1:27" x14ac:dyDescent="0.15">
      <c r="A789" s="2"/>
      <c r="B789" s="1"/>
      <c r="C789" s="1"/>
      <c r="D789" s="1"/>
      <c r="E789" s="1"/>
      <c r="F789" s="1"/>
      <c r="G789" s="2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 spans="1:27" x14ac:dyDescent="0.15">
      <c r="A790" s="2"/>
      <c r="B790" s="1"/>
      <c r="C790" s="1"/>
      <c r="D790" s="1"/>
      <c r="E790" s="1"/>
      <c r="F790" s="1"/>
      <c r="G790" s="2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 spans="1:27" x14ac:dyDescent="0.15">
      <c r="A791" s="2"/>
      <c r="B791" s="1"/>
      <c r="C791" s="1"/>
      <c r="D791" s="1"/>
      <c r="E791" s="1"/>
      <c r="F791" s="1"/>
      <c r="G791" s="2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 spans="1:27" x14ac:dyDescent="0.15">
      <c r="A792" s="2"/>
      <c r="B792" s="1"/>
      <c r="C792" s="1"/>
      <c r="D792" s="1"/>
      <c r="E792" s="1"/>
      <c r="F792" s="1"/>
      <c r="G792" s="2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 spans="1:27" x14ac:dyDescent="0.15">
      <c r="A793" s="2"/>
      <c r="B793" s="1"/>
      <c r="C793" s="1"/>
      <c r="D793" s="1"/>
      <c r="E793" s="1"/>
      <c r="F793" s="1"/>
      <c r="G793" s="2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 spans="1:27" x14ac:dyDescent="0.15">
      <c r="A794" s="2"/>
      <c r="B794" s="1"/>
      <c r="C794" s="1"/>
      <c r="D794" s="1"/>
      <c r="E794" s="1"/>
      <c r="F794" s="1"/>
      <c r="G794" s="2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 spans="1:27" x14ac:dyDescent="0.15">
      <c r="A795" s="2"/>
      <c r="B795" s="1"/>
      <c r="C795" s="1"/>
      <c r="D795" s="1"/>
      <c r="E795" s="1"/>
      <c r="F795" s="1"/>
      <c r="G795" s="2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 spans="1:27" x14ac:dyDescent="0.15">
      <c r="A796" s="2"/>
      <c r="B796" s="1"/>
      <c r="C796" s="1"/>
      <c r="D796" s="1"/>
      <c r="E796" s="1"/>
      <c r="F796" s="1"/>
      <c r="G796" s="2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 spans="1:27" x14ac:dyDescent="0.15">
      <c r="A797" s="2"/>
      <c r="B797" s="1"/>
      <c r="C797" s="1"/>
      <c r="D797" s="1"/>
      <c r="E797" s="1"/>
      <c r="F797" s="1"/>
      <c r="G797" s="2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 spans="1:27" x14ac:dyDescent="0.15">
      <c r="A798" s="2"/>
      <c r="B798" s="1"/>
      <c r="C798" s="1"/>
      <c r="D798" s="1"/>
      <c r="E798" s="1"/>
      <c r="F798" s="1"/>
      <c r="G798" s="2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 spans="1:27" x14ac:dyDescent="0.15">
      <c r="A799" s="2"/>
      <c r="B799" s="1"/>
      <c r="C799" s="1"/>
      <c r="D799" s="1"/>
      <c r="E799" s="1"/>
      <c r="F799" s="1"/>
      <c r="G799" s="2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 spans="1:27" x14ac:dyDescent="0.15">
      <c r="A800" s="2"/>
      <c r="B800" s="1"/>
      <c r="C800" s="1"/>
      <c r="D800" s="1"/>
      <c r="E800" s="1"/>
      <c r="F800" s="1"/>
      <c r="G800" s="2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 spans="1:27" x14ac:dyDescent="0.15">
      <c r="A801" s="2"/>
      <c r="B801" s="1"/>
      <c r="C801" s="1"/>
      <c r="D801" s="1"/>
      <c r="E801" s="1"/>
      <c r="F801" s="1"/>
      <c r="G801" s="2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 spans="1:27" x14ac:dyDescent="0.15">
      <c r="A802" s="2"/>
      <c r="B802" s="1"/>
      <c r="C802" s="1"/>
      <c r="D802" s="1"/>
      <c r="E802" s="1"/>
      <c r="F802" s="1"/>
      <c r="G802" s="2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 spans="1:27" x14ac:dyDescent="0.15">
      <c r="A803" s="2"/>
      <c r="B803" s="1"/>
      <c r="C803" s="1"/>
      <c r="D803" s="1"/>
      <c r="E803" s="1"/>
      <c r="F803" s="1"/>
      <c r="G803" s="2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 spans="1:27" x14ac:dyDescent="0.15">
      <c r="A804" s="2"/>
      <c r="B804" s="1"/>
      <c r="C804" s="1"/>
      <c r="D804" s="1"/>
      <c r="E804" s="1"/>
      <c r="F804" s="1"/>
      <c r="G804" s="2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 spans="1:27" x14ac:dyDescent="0.15">
      <c r="A805" s="2"/>
      <c r="B805" s="1"/>
      <c r="C805" s="1"/>
      <c r="D805" s="1"/>
      <c r="E805" s="1"/>
      <c r="F805" s="1"/>
      <c r="G805" s="2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 spans="1:27" x14ac:dyDescent="0.15">
      <c r="A806" s="2"/>
      <c r="B806" s="1"/>
      <c r="C806" s="1"/>
      <c r="D806" s="1"/>
      <c r="E806" s="1"/>
      <c r="F806" s="1"/>
      <c r="G806" s="2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 spans="1:27" x14ac:dyDescent="0.15">
      <c r="A807" s="2"/>
      <c r="B807" s="1"/>
      <c r="C807" s="1"/>
      <c r="D807" s="1"/>
      <c r="E807" s="1"/>
      <c r="F807" s="1"/>
      <c r="G807" s="2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 spans="1:27" x14ac:dyDescent="0.15">
      <c r="A808" s="2"/>
      <c r="B808" s="1"/>
      <c r="C808" s="1"/>
      <c r="D808" s="1"/>
      <c r="E808" s="1"/>
      <c r="F808" s="1"/>
      <c r="G808" s="2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 spans="1:27" x14ac:dyDescent="0.15">
      <c r="A809" s="2"/>
      <c r="B809" s="1"/>
      <c r="C809" s="1"/>
      <c r="D809" s="1"/>
      <c r="E809" s="1"/>
      <c r="F809" s="1"/>
      <c r="G809" s="2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 spans="1:27" x14ac:dyDescent="0.15">
      <c r="A810" s="2"/>
      <c r="B810" s="1"/>
      <c r="C810" s="1"/>
      <c r="D810" s="1"/>
      <c r="E810" s="1"/>
      <c r="F810" s="1"/>
      <c r="G810" s="2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 spans="1:27" x14ac:dyDescent="0.15">
      <c r="A811" s="2"/>
      <c r="B811" s="1"/>
      <c r="C811" s="1"/>
      <c r="D811" s="1"/>
      <c r="E811" s="1"/>
      <c r="F811" s="1"/>
      <c r="G811" s="2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 spans="1:27" x14ac:dyDescent="0.15">
      <c r="A812" s="2"/>
      <c r="B812" s="1"/>
      <c r="C812" s="1"/>
      <c r="D812" s="1"/>
      <c r="E812" s="1"/>
      <c r="F812" s="1"/>
      <c r="G812" s="2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 spans="1:27" x14ac:dyDescent="0.15">
      <c r="A813" s="2"/>
      <c r="B813" s="1"/>
      <c r="C813" s="1"/>
      <c r="D813" s="1"/>
      <c r="E813" s="1"/>
      <c r="F813" s="1"/>
      <c r="G813" s="2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 spans="1:27" x14ac:dyDescent="0.15">
      <c r="A814" s="2"/>
      <c r="B814" s="1"/>
      <c r="C814" s="1"/>
      <c r="D814" s="1"/>
      <c r="E814" s="1"/>
      <c r="F814" s="1"/>
      <c r="G814" s="2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 spans="1:27" x14ac:dyDescent="0.15">
      <c r="A815" s="2"/>
      <c r="B815" s="1"/>
      <c r="C815" s="1"/>
      <c r="D815" s="1"/>
      <c r="E815" s="1"/>
      <c r="F815" s="1"/>
      <c r="G815" s="2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 spans="1:27" x14ac:dyDescent="0.15">
      <c r="A816" s="2"/>
      <c r="B816" s="1"/>
      <c r="C816" s="1"/>
      <c r="D816" s="1"/>
      <c r="E816" s="1"/>
      <c r="F816" s="1"/>
      <c r="G816" s="2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 spans="1:27" x14ac:dyDescent="0.15">
      <c r="A817" s="2"/>
      <c r="B817" s="1"/>
      <c r="C817" s="1"/>
      <c r="D817" s="1"/>
      <c r="E817" s="1"/>
      <c r="F817" s="1"/>
      <c r="G817" s="2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 spans="1:27" x14ac:dyDescent="0.15">
      <c r="A818" s="2"/>
      <c r="B818" s="1"/>
      <c r="C818" s="1"/>
      <c r="D818" s="1"/>
      <c r="E818" s="1"/>
      <c r="F818" s="1"/>
      <c r="G818" s="2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 spans="1:27" x14ac:dyDescent="0.15">
      <c r="A819" s="2"/>
      <c r="B819" s="1"/>
      <c r="C819" s="1"/>
      <c r="D819" s="1"/>
      <c r="E819" s="1"/>
      <c r="F819" s="1"/>
      <c r="G819" s="2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 spans="1:27" x14ac:dyDescent="0.15">
      <c r="A820" s="2"/>
      <c r="B820" s="1"/>
      <c r="C820" s="1"/>
      <c r="D820" s="1"/>
      <c r="E820" s="1"/>
      <c r="F820" s="1"/>
      <c r="G820" s="2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 spans="1:27" x14ac:dyDescent="0.15">
      <c r="A821" s="2"/>
      <c r="B821" s="1"/>
      <c r="C821" s="1"/>
      <c r="D821" s="1"/>
      <c r="E821" s="1"/>
      <c r="F821" s="1"/>
      <c r="G821" s="2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 spans="1:27" x14ac:dyDescent="0.15">
      <c r="A822" s="2"/>
      <c r="B822" s="1"/>
      <c r="C822" s="1"/>
      <c r="D822" s="1"/>
      <c r="E822" s="1"/>
      <c r="F822" s="1"/>
      <c r="G822" s="2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 spans="1:27" x14ac:dyDescent="0.15">
      <c r="A823" s="2"/>
      <c r="B823" s="1"/>
      <c r="C823" s="1"/>
      <c r="D823" s="1"/>
      <c r="E823" s="1"/>
      <c r="F823" s="1"/>
      <c r="G823" s="2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 spans="1:27" x14ac:dyDescent="0.15">
      <c r="A824" s="2"/>
      <c r="B824" s="1"/>
      <c r="C824" s="1"/>
      <c r="D824" s="1"/>
      <c r="E824" s="1"/>
      <c r="F824" s="1"/>
      <c r="G824" s="2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 spans="1:27" x14ac:dyDescent="0.15">
      <c r="A825" s="2"/>
      <c r="B825" s="1"/>
      <c r="C825" s="1"/>
      <c r="D825" s="1"/>
      <c r="E825" s="1"/>
      <c r="F825" s="1"/>
      <c r="G825" s="2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 spans="1:27" x14ac:dyDescent="0.15">
      <c r="A826" s="2"/>
      <c r="B826" s="1"/>
      <c r="C826" s="1"/>
      <c r="D826" s="1"/>
      <c r="E826" s="1"/>
      <c r="F826" s="1"/>
      <c r="G826" s="2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 spans="1:27" x14ac:dyDescent="0.15">
      <c r="A827" s="2"/>
      <c r="B827" s="1"/>
      <c r="C827" s="1"/>
      <c r="D827" s="1"/>
      <c r="E827" s="1"/>
      <c r="F827" s="1"/>
      <c r="G827" s="2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 spans="1:27" x14ac:dyDescent="0.15">
      <c r="A828" s="2"/>
      <c r="B828" s="1"/>
      <c r="C828" s="1"/>
      <c r="D828" s="1"/>
      <c r="E828" s="1"/>
      <c r="F828" s="1"/>
      <c r="G828" s="2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 spans="1:27" x14ac:dyDescent="0.15">
      <c r="A829" s="2"/>
      <c r="B829" s="1"/>
      <c r="C829" s="1"/>
      <c r="D829" s="1"/>
      <c r="E829" s="1"/>
      <c r="F829" s="1"/>
      <c r="G829" s="2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 spans="1:27" x14ac:dyDescent="0.15">
      <c r="A830" s="2"/>
      <c r="B830" s="1"/>
      <c r="C830" s="1"/>
      <c r="D830" s="1"/>
      <c r="E830" s="1"/>
      <c r="F830" s="1"/>
      <c r="G830" s="2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 spans="1:27" x14ac:dyDescent="0.15">
      <c r="A831" s="2"/>
      <c r="B831" s="1"/>
      <c r="C831" s="1"/>
      <c r="D831" s="1"/>
      <c r="E831" s="1"/>
      <c r="F831" s="1"/>
      <c r="G831" s="2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 spans="1:27" x14ac:dyDescent="0.15">
      <c r="A832" s="2"/>
      <c r="B832" s="1"/>
      <c r="C832" s="1"/>
      <c r="D832" s="1"/>
      <c r="E832" s="1"/>
      <c r="F832" s="1"/>
      <c r="G832" s="2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 spans="1:27" x14ac:dyDescent="0.15">
      <c r="A833" s="2"/>
      <c r="B833" s="1"/>
      <c r="C833" s="1"/>
      <c r="D833" s="1"/>
      <c r="E833" s="1"/>
      <c r="F833" s="1"/>
      <c r="G833" s="2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 spans="1:27" x14ac:dyDescent="0.15">
      <c r="A834" s="2"/>
      <c r="B834" s="1"/>
      <c r="C834" s="1"/>
      <c r="D834" s="1"/>
      <c r="E834" s="1"/>
      <c r="F834" s="1"/>
      <c r="G834" s="2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 spans="1:27" x14ac:dyDescent="0.15">
      <c r="A835" s="2"/>
      <c r="B835" s="1"/>
      <c r="C835" s="1"/>
      <c r="D835" s="1"/>
      <c r="E835" s="1"/>
      <c r="F835" s="1"/>
      <c r="G835" s="2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 spans="1:27" x14ac:dyDescent="0.15">
      <c r="A836" s="2"/>
      <c r="B836" s="1"/>
      <c r="C836" s="1"/>
      <c r="D836" s="1"/>
      <c r="E836" s="1"/>
      <c r="F836" s="1"/>
      <c r="G836" s="2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 spans="1:27" x14ac:dyDescent="0.15">
      <c r="A837" s="2"/>
      <c r="B837" s="1"/>
      <c r="C837" s="1"/>
      <c r="D837" s="1"/>
      <c r="E837" s="1"/>
      <c r="F837" s="1"/>
      <c r="G837" s="2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 spans="1:27" x14ac:dyDescent="0.15">
      <c r="A838" s="2"/>
      <c r="B838" s="1"/>
      <c r="C838" s="1"/>
      <c r="D838" s="1"/>
      <c r="E838" s="1"/>
      <c r="F838" s="1"/>
      <c r="G838" s="2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 spans="1:27" x14ac:dyDescent="0.15">
      <c r="A839" s="2"/>
      <c r="B839" s="1"/>
      <c r="C839" s="1"/>
      <c r="D839" s="1"/>
      <c r="E839" s="1"/>
      <c r="F839" s="1"/>
      <c r="G839" s="2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 spans="1:27" x14ac:dyDescent="0.15">
      <c r="A840" s="2"/>
      <c r="B840" s="1"/>
      <c r="C840" s="1"/>
      <c r="D840" s="1"/>
      <c r="E840" s="1"/>
      <c r="F840" s="1"/>
      <c r="G840" s="2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 spans="1:27" x14ac:dyDescent="0.15">
      <c r="A841" s="2"/>
      <c r="B841" s="1"/>
      <c r="C841" s="1"/>
      <c r="D841" s="1"/>
      <c r="E841" s="1"/>
      <c r="F841" s="1"/>
      <c r="G841" s="2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 spans="1:27" x14ac:dyDescent="0.15">
      <c r="A842" s="2"/>
      <c r="B842" s="1"/>
      <c r="C842" s="1"/>
      <c r="D842" s="1"/>
      <c r="E842" s="1"/>
      <c r="F842" s="1"/>
      <c r="G842" s="2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 spans="1:27" x14ac:dyDescent="0.15">
      <c r="A843" s="2"/>
      <c r="B843" s="1"/>
      <c r="C843" s="1"/>
      <c r="D843" s="1"/>
      <c r="E843" s="1"/>
      <c r="F843" s="1"/>
      <c r="G843" s="2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 spans="1:27" x14ac:dyDescent="0.15">
      <c r="A844" s="2"/>
      <c r="B844" s="1"/>
      <c r="C844" s="1"/>
      <c r="D844" s="1"/>
      <c r="E844" s="1"/>
      <c r="F844" s="1"/>
      <c r="G844" s="2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 spans="1:27" x14ac:dyDescent="0.15">
      <c r="A845" s="2"/>
      <c r="B845" s="1"/>
      <c r="C845" s="1"/>
      <c r="D845" s="1"/>
      <c r="E845" s="1"/>
      <c r="F845" s="1"/>
      <c r="G845" s="2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 spans="1:27" x14ac:dyDescent="0.15">
      <c r="A846" s="2"/>
      <c r="B846" s="1"/>
      <c r="C846" s="1"/>
      <c r="D846" s="1"/>
      <c r="E846" s="1"/>
      <c r="F846" s="1"/>
      <c r="G846" s="2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 spans="1:27" x14ac:dyDescent="0.15">
      <c r="A847" s="2"/>
      <c r="B847" s="1"/>
      <c r="C847" s="1"/>
      <c r="D847" s="1"/>
      <c r="E847" s="1"/>
      <c r="F847" s="1"/>
      <c r="G847" s="2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 spans="1:27" x14ac:dyDescent="0.15">
      <c r="A848" s="2"/>
      <c r="B848" s="1"/>
      <c r="C848" s="1"/>
      <c r="D848" s="1"/>
      <c r="E848" s="1"/>
      <c r="F848" s="1"/>
      <c r="G848" s="2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 spans="1:27" x14ac:dyDescent="0.15">
      <c r="A849" s="2"/>
      <c r="B849" s="1"/>
      <c r="C849" s="1"/>
      <c r="D849" s="1"/>
      <c r="E849" s="1"/>
      <c r="F849" s="1"/>
      <c r="G849" s="2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 spans="1:27" x14ac:dyDescent="0.15">
      <c r="A850" s="2"/>
      <c r="B850" s="1"/>
      <c r="C850" s="1"/>
      <c r="D850" s="1"/>
      <c r="E850" s="1"/>
      <c r="F850" s="1"/>
      <c r="G850" s="2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 spans="1:27" x14ac:dyDescent="0.15">
      <c r="A851" s="2"/>
      <c r="B851" s="1"/>
      <c r="C851" s="1"/>
      <c r="D851" s="1"/>
      <c r="E851" s="1"/>
      <c r="F851" s="1"/>
      <c r="G851" s="2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 spans="1:27" x14ac:dyDescent="0.15">
      <c r="A852" s="2"/>
      <c r="B852" s="1"/>
      <c r="C852" s="1"/>
      <c r="D852" s="1"/>
      <c r="E852" s="1"/>
      <c r="F852" s="1"/>
      <c r="G852" s="2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 spans="1:27" x14ac:dyDescent="0.15">
      <c r="A853" s="2"/>
      <c r="B853" s="1"/>
      <c r="C853" s="1"/>
      <c r="D853" s="1"/>
      <c r="E853" s="1"/>
      <c r="F853" s="1"/>
      <c r="G853" s="2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 spans="1:27" x14ac:dyDescent="0.15">
      <c r="A854" s="2"/>
      <c r="B854" s="1"/>
      <c r="C854" s="1"/>
      <c r="D854" s="1"/>
      <c r="E854" s="1"/>
      <c r="F854" s="1"/>
      <c r="G854" s="2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 spans="1:27" x14ac:dyDescent="0.15">
      <c r="A855" s="2"/>
      <c r="B855" s="1"/>
      <c r="C855" s="1"/>
      <c r="D855" s="1"/>
      <c r="E855" s="1"/>
      <c r="F855" s="1"/>
      <c r="G855" s="2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 spans="1:27" x14ac:dyDescent="0.15">
      <c r="A856" s="2"/>
      <c r="B856" s="1"/>
      <c r="C856" s="1"/>
      <c r="D856" s="1"/>
      <c r="E856" s="1"/>
      <c r="F856" s="1"/>
      <c r="G856" s="2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 spans="1:27" x14ac:dyDescent="0.15">
      <c r="A857" s="2"/>
      <c r="B857" s="1"/>
      <c r="C857" s="1"/>
      <c r="D857" s="1"/>
      <c r="E857" s="1"/>
      <c r="F857" s="1"/>
      <c r="G857" s="2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 spans="1:27" x14ac:dyDescent="0.15">
      <c r="A858" s="2"/>
      <c r="B858" s="1"/>
      <c r="C858" s="1"/>
      <c r="D858" s="1"/>
      <c r="E858" s="1"/>
      <c r="F858" s="1"/>
      <c r="G858" s="2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 spans="1:27" x14ac:dyDescent="0.15">
      <c r="A859" s="2"/>
      <c r="B859" s="1"/>
      <c r="C859" s="1"/>
      <c r="D859" s="1"/>
      <c r="E859" s="1"/>
      <c r="F859" s="1"/>
      <c r="G859" s="2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 spans="1:27" x14ac:dyDescent="0.15">
      <c r="A860" s="2"/>
      <c r="B860" s="1"/>
      <c r="C860" s="1"/>
      <c r="D860" s="1"/>
      <c r="E860" s="1"/>
      <c r="F860" s="1"/>
      <c r="G860" s="2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 spans="1:27" x14ac:dyDescent="0.15">
      <c r="A861" s="2"/>
      <c r="B861" s="1"/>
      <c r="C861" s="1"/>
      <c r="D861" s="1"/>
      <c r="E861" s="1"/>
      <c r="F861" s="1"/>
      <c r="G861" s="2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 spans="1:27" x14ac:dyDescent="0.15">
      <c r="A862" s="2"/>
      <c r="B862" s="1"/>
      <c r="C862" s="1"/>
      <c r="D862" s="1"/>
      <c r="E862" s="1"/>
      <c r="F862" s="1"/>
      <c r="G862" s="2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 spans="1:27" x14ac:dyDescent="0.15">
      <c r="A863" s="2"/>
      <c r="B863" s="1"/>
      <c r="C863" s="1"/>
      <c r="D863" s="1"/>
      <c r="E863" s="1"/>
      <c r="F863" s="1"/>
      <c r="G863" s="2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 spans="1:27" x14ac:dyDescent="0.15">
      <c r="A864" s="2"/>
      <c r="B864" s="1"/>
      <c r="C864" s="1"/>
      <c r="D864" s="1"/>
      <c r="E864" s="1"/>
      <c r="F864" s="1"/>
      <c r="G864" s="2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 spans="1:27" x14ac:dyDescent="0.15">
      <c r="A865" s="2"/>
      <c r="B865" s="1"/>
      <c r="C865" s="1"/>
      <c r="D865" s="1"/>
      <c r="E865" s="1"/>
      <c r="F865" s="1"/>
      <c r="G865" s="2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 spans="1:27" x14ac:dyDescent="0.15">
      <c r="A866" s="2"/>
      <c r="B866" s="1"/>
      <c r="C866" s="1"/>
      <c r="D866" s="1"/>
      <c r="E866" s="1"/>
      <c r="F866" s="1"/>
      <c r="G866" s="2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 spans="1:27" x14ac:dyDescent="0.15">
      <c r="A867" s="2"/>
      <c r="B867" s="1"/>
      <c r="C867" s="1"/>
      <c r="D867" s="1"/>
      <c r="E867" s="1"/>
      <c r="F867" s="1"/>
      <c r="G867" s="2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 spans="1:27" x14ac:dyDescent="0.15">
      <c r="A868" s="2"/>
      <c r="B868" s="1"/>
      <c r="C868" s="1"/>
      <c r="D868" s="1"/>
      <c r="E868" s="1"/>
      <c r="F868" s="1"/>
      <c r="G868" s="2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 spans="1:27" x14ac:dyDescent="0.15">
      <c r="A869" s="2"/>
      <c r="B869" s="1"/>
      <c r="C869" s="1"/>
      <c r="D869" s="1"/>
      <c r="E869" s="1"/>
      <c r="F869" s="1"/>
      <c r="G869" s="2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 spans="1:27" x14ac:dyDescent="0.15">
      <c r="A870" s="2"/>
      <c r="B870" s="1"/>
      <c r="C870" s="1"/>
      <c r="D870" s="1"/>
      <c r="E870" s="1"/>
      <c r="F870" s="1"/>
      <c r="G870" s="2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 spans="1:27" x14ac:dyDescent="0.15">
      <c r="A871" s="2"/>
      <c r="B871" s="1"/>
      <c r="C871" s="1"/>
      <c r="D871" s="1"/>
      <c r="E871" s="1"/>
      <c r="F871" s="1"/>
      <c r="G871" s="2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 spans="1:27" x14ac:dyDescent="0.15">
      <c r="A872" s="2"/>
      <c r="B872" s="1"/>
      <c r="C872" s="1"/>
      <c r="D872" s="1"/>
      <c r="E872" s="1"/>
      <c r="F872" s="1"/>
      <c r="G872" s="2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 spans="1:27" x14ac:dyDescent="0.15">
      <c r="A873" s="2"/>
      <c r="B873" s="1"/>
      <c r="C873" s="1"/>
      <c r="D873" s="1"/>
      <c r="E873" s="1"/>
      <c r="F873" s="1"/>
      <c r="G873" s="2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 spans="1:27" x14ac:dyDescent="0.15">
      <c r="A874" s="2"/>
      <c r="B874" s="1"/>
      <c r="C874" s="1"/>
      <c r="D874" s="1"/>
      <c r="E874" s="1"/>
      <c r="F874" s="1"/>
      <c r="G874" s="2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 spans="1:27" x14ac:dyDescent="0.15">
      <c r="A875" s="2"/>
      <c r="B875" s="1"/>
      <c r="C875" s="1"/>
      <c r="D875" s="1"/>
      <c r="E875" s="1"/>
      <c r="F875" s="1"/>
      <c r="G875" s="2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 spans="1:27" x14ac:dyDescent="0.15">
      <c r="A876" s="2"/>
      <c r="B876" s="1"/>
      <c r="C876" s="1"/>
      <c r="D876" s="1"/>
      <c r="E876" s="1"/>
      <c r="F876" s="1"/>
      <c r="G876" s="2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 spans="1:27" x14ac:dyDescent="0.15">
      <c r="A877" s="2"/>
      <c r="B877" s="1"/>
      <c r="C877" s="1"/>
      <c r="D877" s="1"/>
      <c r="E877" s="1"/>
      <c r="F877" s="1"/>
      <c r="G877" s="2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 spans="1:27" x14ac:dyDescent="0.15">
      <c r="A878" s="2"/>
      <c r="B878" s="1"/>
      <c r="C878" s="1"/>
      <c r="D878" s="1"/>
      <c r="E878" s="1"/>
      <c r="F878" s="1"/>
      <c r="G878" s="2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 spans="1:27" x14ac:dyDescent="0.15">
      <c r="A879" s="2"/>
      <c r="B879" s="1"/>
      <c r="C879" s="1"/>
      <c r="D879" s="1"/>
      <c r="E879" s="1"/>
      <c r="F879" s="1"/>
      <c r="G879" s="2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 spans="1:27" x14ac:dyDescent="0.15">
      <c r="A880" s="2"/>
      <c r="B880" s="1"/>
      <c r="C880" s="1"/>
      <c r="D880" s="1"/>
      <c r="E880" s="1"/>
      <c r="F880" s="1"/>
      <c r="G880" s="2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 spans="1:27" x14ac:dyDescent="0.15">
      <c r="A881" s="2"/>
      <c r="B881" s="1"/>
      <c r="C881" s="1"/>
      <c r="D881" s="1"/>
      <c r="E881" s="1"/>
      <c r="F881" s="1"/>
      <c r="G881" s="2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 spans="1:27" x14ac:dyDescent="0.15">
      <c r="A882" s="2"/>
      <c r="B882" s="1"/>
      <c r="C882" s="1"/>
      <c r="D882" s="1"/>
      <c r="E882" s="1"/>
      <c r="F882" s="1"/>
      <c r="G882" s="2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 spans="1:27" x14ac:dyDescent="0.15">
      <c r="A883" s="2"/>
      <c r="B883" s="1"/>
      <c r="C883" s="1"/>
      <c r="D883" s="1"/>
      <c r="E883" s="1"/>
      <c r="F883" s="1"/>
      <c r="G883" s="2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 spans="1:27" x14ac:dyDescent="0.15">
      <c r="A884" s="2"/>
      <c r="B884" s="1"/>
      <c r="C884" s="1"/>
      <c r="D884" s="1"/>
      <c r="E884" s="1"/>
      <c r="F884" s="1"/>
      <c r="G884" s="2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 spans="1:27" x14ac:dyDescent="0.15">
      <c r="A885" s="2"/>
      <c r="B885" s="1"/>
      <c r="C885" s="1"/>
      <c r="D885" s="1"/>
      <c r="E885" s="1"/>
      <c r="F885" s="1"/>
      <c r="G885" s="2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 spans="1:27" x14ac:dyDescent="0.15">
      <c r="A886" s="2"/>
      <c r="B886" s="1"/>
      <c r="C886" s="1"/>
      <c r="D886" s="1"/>
      <c r="E886" s="1"/>
      <c r="F886" s="1"/>
      <c r="G886" s="2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 spans="1:27" x14ac:dyDescent="0.15">
      <c r="A887" s="2"/>
      <c r="B887" s="1"/>
      <c r="C887" s="1"/>
      <c r="D887" s="1"/>
      <c r="E887" s="1"/>
      <c r="F887" s="1"/>
      <c r="G887" s="2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 spans="1:27" x14ac:dyDescent="0.15">
      <c r="A888" s="2"/>
      <c r="B888" s="1"/>
      <c r="C888" s="1"/>
      <c r="D888" s="1"/>
      <c r="E888" s="1"/>
      <c r="F888" s="1"/>
      <c r="G888" s="2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 spans="1:27" x14ac:dyDescent="0.15">
      <c r="A889" s="2"/>
      <c r="B889" s="1"/>
      <c r="C889" s="1"/>
      <c r="D889" s="1"/>
      <c r="E889" s="1"/>
      <c r="F889" s="1"/>
      <c r="G889" s="2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 spans="1:27" x14ac:dyDescent="0.15">
      <c r="A890" s="2"/>
      <c r="B890" s="1"/>
      <c r="C890" s="1"/>
      <c r="D890" s="1"/>
      <c r="E890" s="1"/>
      <c r="F890" s="1"/>
      <c r="G890" s="2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 spans="1:27" x14ac:dyDescent="0.15">
      <c r="A891" s="2"/>
      <c r="B891" s="1"/>
      <c r="C891" s="1"/>
      <c r="D891" s="1"/>
      <c r="E891" s="1"/>
      <c r="F891" s="1"/>
      <c r="G891" s="2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 spans="1:27" x14ac:dyDescent="0.15">
      <c r="A892" s="2"/>
      <c r="B892" s="1"/>
      <c r="C892" s="1"/>
      <c r="D892" s="1"/>
      <c r="E892" s="1"/>
      <c r="F892" s="1"/>
      <c r="G892" s="2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 spans="1:27" x14ac:dyDescent="0.15">
      <c r="A893" s="2"/>
      <c r="B893" s="1"/>
      <c r="C893" s="1"/>
      <c r="D893" s="1"/>
      <c r="E893" s="1"/>
      <c r="F893" s="1"/>
      <c r="G893" s="2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 spans="1:27" x14ac:dyDescent="0.15">
      <c r="A894" s="2"/>
      <c r="B894" s="1"/>
      <c r="C894" s="1"/>
      <c r="D894" s="1"/>
      <c r="E894" s="1"/>
      <c r="F894" s="1"/>
      <c r="G894" s="2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 spans="1:27" x14ac:dyDescent="0.15">
      <c r="A895" s="2"/>
      <c r="B895" s="1"/>
      <c r="C895" s="1"/>
      <c r="D895" s="1"/>
      <c r="E895" s="1"/>
      <c r="F895" s="1"/>
      <c r="G895" s="2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 spans="1:27" x14ac:dyDescent="0.15">
      <c r="A896" s="2"/>
      <c r="B896" s="1"/>
      <c r="C896" s="1"/>
      <c r="D896" s="1"/>
      <c r="E896" s="1"/>
      <c r="F896" s="1"/>
      <c r="G896" s="2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 spans="1:27" x14ac:dyDescent="0.15">
      <c r="A897" s="2"/>
      <c r="B897" s="1"/>
      <c r="C897" s="1"/>
      <c r="D897" s="1"/>
      <c r="E897" s="1"/>
      <c r="F897" s="1"/>
      <c r="G897" s="2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 spans="1:27" x14ac:dyDescent="0.15">
      <c r="A898" s="2"/>
      <c r="B898" s="1"/>
      <c r="C898" s="1"/>
      <c r="D898" s="1"/>
      <c r="E898" s="1"/>
      <c r="F898" s="1"/>
      <c r="G898" s="2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 spans="1:27" x14ac:dyDescent="0.15">
      <c r="A899" s="2"/>
      <c r="B899" s="1"/>
      <c r="C899" s="1"/>
      <c r="D899" s="1"/>
      <c r="E899" s="1"/>
      <c r="F899" s="1"/>
      <c r="G899" s="2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 spans="1:27" x14ac:dyDescent="0.15">
      <c r="A900" s="2"/>
      <c r="B900" s="1"/>
      <c r="C900" s="1"/>
      <c r="D900" s="1"/>
      <c r="E900" s="1"/>
      <c r="F900" s="1"/>
      <c r="G900" s="2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 spans="1:27" x14ac:dyDescent="0.15">
      <c r="A901" s="2"/>
      <c r="B901" s="1"/>
      <c r="C901" s="1"/>
      <c r="D901" s="1"/>
      <c r="E901" s="1"/>
      <c r="F901" s="1"/>
      <c r="G901" s="2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 spans="1:27" x14ac:dyDescent="0.15">
      <c r="A902" s="2"/>
      <c r="B902" s="1"/>
      <c r="C902" s="1"/>
      <c r="D902" s="1"/>
      <c r="E902" s="1"/>
      <c r="F902" s="1"/>
      <c r="G902" s="2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 spans="1:27" x14ac:dyDescent="0.15">
      <c r="A903" s="2"/>
      <c r="B903" s="1"/>
      <c r="C903" s="1"/>
      <c r="D903" s="1"/>
      <c r="E903" s="1"/>
      <c r="F903" s="1"/>
      <c r="G903" s="2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 spans="1:27" x14ac:dyDescent="0.15">
      <c r="A904" s="2"/>
      <c r="B904" s="1"/>
      <c r="C904" s="1"/>
      <c r="D904" s="1"/>
      <c r="E904" s="1"/>
      <c r="F904" s="1"/>
      <c r="G904" s="2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 spans="1:27" x14ac:dyDescent="0.15">
      <c r="A905" s="2"/>
      <c r="B905" s="1"/>
      <c r="C905" s="1"/>
      <c r="D905" s="1"/>
      <c r="E905" s="1"/>
      <c r="F905" s="1"/>
      <c r="G905" s="2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 spans="1:27" x14ac:dyDescent="0.15">
      <c r="A906" s="2"/>
      <c r="B906" s="1"/>
      <c r="C906" s="1"/>
      <c r="D906" s="1"/>
      <c r="E906" s="1"/>
      <c r="F906" s="1"/>
      <c r="G906" s="2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 spans="1:27" x14ac:dyDescent="0.15">
      <c r="A907" s="2"/>
      <c r="B907" s="1"/>
      <c r="C907" s="1"/>
      <c r="D907" s="1"/>
      <c r="E907" s="1"/>
      <c r="F907" s="1"/>
      <c r="G907" s="2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 spans="1:27" x14ac:dyDescent="0.15">
      <c r="A908" s="2"/>
      <c r="B908" s="1"/>
      <c r="C908" s="1"/>
      <c r="D908" s="1"/>
      <c r="E908" s="1"/>
      <c r="F908" s="1"/>
      <c r="G908" s="2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 spans="1:27" x14ac:dyDescent="0.15">
      <c r="A909" s="2"/>
      <c r="B909" s="1"/>
      <c r="C909" s="1"/>
      <c r="D909" s="1"/>
      <c r="E909" s="1"/>
      <c r="F909" s="1"/>
      <c r="G909" s="2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 spans="1:27" x14ac:dyDescent="0.15">
      <c r="A910" s="2"/>
      <c r="B910" s="1"/>
      <c r="C910" s="1"/>
      <c r="D910" s="1"/>
      <c r="E910" s="1"/>
      <c r="F910" s="1"/>
      <c r="G910" s="2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 spans="1:27" x14ac:dyDescent="0.15">
      <c r="A911" s="2"/>
      <c r="B911" s="1"/>
      <c r="C911" s="1"/>
      <c r="D911" s="1"/>
      <c r="E911" s="1"/>
      <c r="F911" s="1"/>
      <c r="G911" s="2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 spans="1:27" x14ac:dyDescent="0.15">
      <c r="A912" s="2"/>
      <c r="B912" s="1"/>
      <c r="C912" s="1"/>
      <c r="D912" s="1"/>
      <c r="E912" s="1"/>
      <c r="F912" s="1"/>
      <c r="G912" s="2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 spans="1:27" x14ac:dyDescent="0.15">
      <c r="A913" s="2"/>
      <c r="B913" s="1"/>
      <c r="C913" s="1"/>
      <c r="D913" s="1"/>
      <c r="E913" s="1"/>
      <c r="F913" s="1"/>
      <c r="G913" s="2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 spans="1:27" x14ac:dyDescent="0.15">
      <c r="A914" s="2"/>
      <c r="B914" s="1"/>
      <c r="C914" s="1"/>
      <c r="D914" s="1"/>
      <c r="E914" s="1"/>
      <c r="F914" s="1"/>
      <c r="G914" s="2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 spans="1:27" x14ac:dyDescent="0.15">
      <c r="A915" s="2"/>
      <c r="B915" s="1"/>
      <c r="C915" s="1"/>
      <c r="D915" s="1"/>
      <c r="E915" s="1"/>
      <c r="F915" s="1"/>
      <c r="G915" s="2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 spans="1:27" x14ac:dyDescent="0.15">
      <c r="A916" s="2"/>
      <c r="B916" s="1"/>
      <c r="C916" s="1"/>
      <c r="D916" s="1"/>
      <c r="E916" s="1"/>
      <c r="F916" s="1"/>
      <c r="G916" s="2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 spans="1:27" x14ac:dyDescent="0.15">
      <c r="A917" s="2"/>
      <c r="B917" s="1"/>
      <c r="C917" s="1"/>
      <c r="D917" s="1"/>
      <c r="E917" s="1"/>
      <c r="F917" s="1"/>
      <c r="G917" s="2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 spans="1:27" x14ac:dyDescent="0.15">
      <c r="A918" s="2"/>
      <c r="B918" s="1"/>
      <c r="C918" s="1"/>
      <c r="D918" s="1"/>
      <c r="E918" s="1"/>
      <c r="F918" s="1"/>
      <c r="G918" s="2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 spans="1:27" x14ac:dyDescent="0.15">
      <c r="A919" s="2"/>
      <c r="B919" s="1"/>
      <c r="C919" s="1"/>
      <c r="D919" s="1"/>
      <c r="E919" s="1"/>
      <c r="F919" s="1"/>
      <c r="G919" s="2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 spans="1:27" x14ac:dyDescent="0.15">
      <c r="A920" s="2"/>
      <c r="B920" s="1"/>
      <c r="C920" s="1"/>
      <c r="D920" s="1"/>
      <c r="E920" s="1"/>
      <c r="F920" s="1"/>
      <c r="G920" s="2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 spans="1:27" x14ac:dyDescent="0.15">
      <c r="A921" s="2"/>
      <c r="B921" s="1"/>
      <c r="C921" s="1"/>
      <c r="D921" s="1"/>
      <c r="E921" s="1"/>
      <c r="F921" s="1"/>
      <c r="G921" s="2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 spans="1:27" x14ac:dyDescent="0.15">
      <c r="A922" s="2"/>
      <c r="B922" s="1"/>
      <c r="C922" s="1"/>
      <c r="D922" s="1"/>
      <c r="E922" s="1"/>
      <c r="F922" s="1"/>
      <c r="G922" s="2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 spans="1:27" x14ac:dyDescent="0.15">
      <c r="A923" s="2"/>
      <c r="B923" s="1"/>
      <c r="C923" s="1"/>
      <c r="D923" s="1"/>
      <c r="E923" s="1"/>
      <c r="F923" s="1"/>
      <c r="G923" s="2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 spans="1:27" x14ac:dyDescent="0.15">
      <c r="A924" s="2"/>
      <c r="B924" s="1"/>
      <c r="C924" s="1"/>
      <c r="D924" s="1"/>
      <c r="E924" s="1"/>
      <c r="F924" s="1"/>
      <c r="G924" s="2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 spans="1:27" x14ac:dyDescent="0.15">
      <c r="A925" s="2"/>
      <c r="B925" s="1"/>
      <c r="C925" s="1"/>
      <c r="D925" s="1"/>
      <c r="E925" s="1"/>
      <c r="F925" s="1"/>
      <c r="G925" s="2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 spans="1:27" x14ac:dyDescent="0.15">
      <c r="A926" s="2"/>
      <c r="B926" s="1"/>
      <c r="C926" s="1"/>
      <c r="D926" s="1"/>
      <c r="E926" s="1"/>
      <c r="F926" s="1"/>
      <c r="G926" s="2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 spans="1:27" x14ac:dyDescent="0.15">
      <c r="A927" s="2"/>
      <c r="B927" s="1"/>
      <c r="C927" s="1"/>
      <c r="D927" s="1"/>
      <c r="E927" s="1"/>
      <c r="F927" s="1"/>
      <c r="G927" s="2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 spans="1:27" x14ac:dyDescent="0.15">
      <c r="A928" s="2"/>
      <c r="B928" s="1"/>
      <c r="C928" s="1"/>
      <c r="D928" s="1"/>
      <c r="E928" s="1"/>
      <c r="F928" s="1"/>
      <c r="G928" s="2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 spans="1:27" x14ac:dyDescent="0.15">
      <c r="A929" s="2"/>
      <c r="B929" s="1"/>
      <c r="C929" s="1"/>
      <c r="D929" s="1"/>
      <c r="E929" s="1"/>
      <c r="F929" s="1"/>
      <c r="G929" s="2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 spans="1:27" x14ac:dyDescent="0.15">
      <c r="A930" s="2"/>
      <c r="B930" s="1"/>
      <c r="C930" s="1"/>
      <c r="D930" s="1"/>
      <c r="E930" s="1"/>
      <c r="F930" s="1"/>
      <c r="G930" s="2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 spans="1:27" x14ac:dyDescent="0.15">
      <c r="A931" s="2"/>
      <c r="B931" s="1"/>
      <c r="C931" s="1"/>
      <c r="D931" s="1"/>
      <c r="E931" s="1"/>
      <c r="F931" s="1"/>
      <c r="G931" s="2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 spans="1:27" x14ac:dyDescent="0.15">
      <c r="A932" s="2"/>
      <c r="B932" s="1"/>
      <c r="C932" s="1"/>
      <c r="D932" s="1"/>
      <c r="E932" s="1"/>
      <c r="F932" s="1"/>
      <c r="G932" s="2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 spans="1:27" x14ac:dyDescent="0.15">
      <c r="A933" s="2"/>
      <c r="B933" s="1"/>
      <c r="C933" s="1"/>
      <c r="D933" s="1"/>
      <c r="E933" s="1"/>
      <c r="F933" s="1"/>
      <c r="G933" s="2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 spans="1:27" x14ac:dyDescent="0.15">
      <c r="A934" s="2"/>
      <c r="B934" s="1"/>
      <c r="C934" s="1"/>
      <c r="D934" s="1"/>
      <c r="E934" s="1"/>
      <c r="F934" s="1"/>
      <c r="G934" s="2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 spans="1:27" x14ac:dyDescent="0.15">
      <c r="A935" s="2"/>
      <c r="B935" s="1"/>
      <c r="C935" s="1"/>
      <c r="D935" s="1"/>
      <c r="E935" s="1"/>
      <c r="F935" s="1"/>
      <c r="G935" s="2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 spans="1:27" x14ac:dyDescent="0.15">
      <c r="A936" s="2"/>
      <c r="B936" s="1"/>
      <c r="C936" s="1"/>
      <c r="D936" s="1"/>
      <c r="E936" s="1"/>
      <c r="F936" s="1"/>
      <c r="G936" s="2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 spans="1:27" x14ac:dyDescent="0.15">
      <c r="A937" s="2"/>
      <c r="B937" s="1"/>
      <c r="C937" s="1"/>
      <c r="D937" s="1"/>
      <c r="E937" s="1"/>
      <c r="F937" s="1"/>
      <c r="G937" s="2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 spans="1:27" x14ac:dyDescent="0.15">
      <c r="A938" s="2"/>
      <c r="B938" s="1"/>
      <c r="C938" s="1"/>
      <c r="D938" s="1"/>
      <c r="E938" s="1"/>
      <c r="F938" s="1"/>
      <c r="G938" s="2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 spans="1:27" x14ac:dyDescent="0.15">
      <c r="A939" s="2"/>
      <c r="B939" s="1"/>
      <c r="C939" s="1"/>
      <c r="D939" s="1"/>
      <c r="E939" s="1"/>
      <c r="F939" s="1"/>
      <c r="G939" s="2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 spans="1:27" x14ac:dyDescent="0.15">
      <c r="A940" s="2"/>
      <c r="B940" s="1"/>
      <c r="C940" s="1"/>
      <c r="D940" s="1"/>
      <c r="E940" s="1"/>
      <c r="F940" s="1"/>
      <c r="G940" s="2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 spans="1:27" x14ac:dyDescent="0.15">
      <c r="A941" s="2"/>
      <c r="B941" s="1"/>
      <c r="C941" s="1"/>
      <c r="D941" s="1"/>
      <c r="E941" s="1"/>
      <c r="F941" s="1"/>
      <c r="G941" s="2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 spans="1:27" x14ac:dyDescent="0.15">
      <c r="A942" s="2"/>
      <c r="B942" s="1"/>
      <c r="C942" s="1"/>
      <c r="D942" s="1"/>
      <c r="E942" s="1"/>
      <c r="F942" s="1"/>
      <c r="G942" s="2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 spans="1:27" x14ac:dyDescent="0.15">
      <c r="A943" s="2"/>
      <c r="B943" s="1"/>
      <c r="C943" s="1"/>
      <c r="D943" s="1"/>
      <c r="E943" s="1"/>
      <c r="F943" s="1"/>
      <c r="G943" s="2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 spans="1:27" x14ac:dyDescent="0.15">
      <c r="A944" s="2"/>
      <c r="B944" s="1"/>
      <c r="C944" s="1"/>
      <c r="D944" s="1"/>
      <c r="E944" s="1"/>
      <c r="F944" s="1"/>
      <c r="G944" s="2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 spans="1:27" x14ac:dyDescent="0.15">
      <c r="A945" s="2"/>
      <c r="B945" s="1"/>
      <c r="C945" s="1"/>
      <c r="D945" s="1"/>
      <c r="E945" s="1"/>
      <c r="F945" s="1"/>
      <c r="G945" s="2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 spans="1:27" x14ac:dyDescent="0.15">
      <c r="A946" s="2"/>
      <c r="B946" s="1"/>
      <c r="C946" s="1"/>
      <c r="D946" s="1"/>
      <c r="E946" s="1"/>
      <c r="F946" s="1"/>
      <c r="G946" s="2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 spans="1:27" x14ac:dyDescent="0.15">
      <c r="A947" s="2"/>
      <c r="B947" s="1"/>
      <c r="C947" s="1"/>
      <c r="D947" s="1"/>
      <c r="E947" s="1"/>
      <c r="F947" s="1"/>
      <c r="G947" s="2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 spans="1:27" x14ac:dyDescent="0.15">
      <c r="A948" s="2"/>
      <c r="B948" s="1"/>
      <c r="C948" s="1"/>
      <c r="D948" s="1"/>
      <c r="E948" s="1"/>
      <c r="F948" s="1"/>
      <c r="G948" s="2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 spans="1:27" x14ac:dyDescent="0.15">
      <c r="A949" s="2"/>
      <c r="B949" s="1"/>
      <c r="C949" s="1"/>
      <c r="D949" s="1"/>
      <c r="E949" s="1"/>
      <c r="F949" s="1"/>
      <c r="G949" s="2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 spans="1:27" x14ac:dyDescent="0.15">
      <c r="A950" s="2"/>
      <c r="B950" s="1"/>
      <c r="C950" s="1"/>
      <c r="D950" s="1"/>
      <c r="E950" s="1"/>
      <c r="F950" s="1"/>
      <c r="G950" s="2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 spans="1:27" x14ac:dyDescent="0.15">
      <c r="A951" s="2"/>
      <c r="B951" s="1"/>
      <c r="C951" s="1"/>
      <c r="D951" s="1"/>
      <c r="E951" s="1"/>
      <c r="F951" s="1"/>
      <c r="G951" s="2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 spans="1:27" x14ac:dyDescent="0.15">
      <c r="A952" s="2"/>
      <c r="B952" s="1"/>
      <c r="C952" s="1"/>
      <c r="D952" s="1"/>
      <c r="E952" s="1"/>
      <c r="F952" s="1"/>
      <c r="G952" s="2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 spans="1:27" x14ac:dyDescent="0.15">
      <c r="A953" s="2"/>
      <c r="B953" s="1"/>
      <c r="C953" s="1"/>
      <c r="D953" s="1"/>
      <c r="E953" s="1"/>
      <c r="F953" s="1"/>
      <c r="G953" s="2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 spans="1:27" x14ac:dyDescent="0.15">
      <c r="A954" s="2"/>
      <c r="B954" s="1"/>
      <c r="C954" s="1"/>
      <c r="D954" s="1"/>
      <c r="E954" s="1"/>
      <c r="F954" s="1"/>
      <c r="G954" s="2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 spans="1:27" x14ac:dyDescent="0.15">
      <c r="A955" s="2"/>
      <c r="B955" s="1"/>
      <c r="C955" s="1"/>
      <c r="D955" s="1"/>
      <c r="E955" s="1"/>
      <c r="F955" s="1"/>
      <c r="G955" s="2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 spans="1:27" x14ac:dyDescent="0.15">
      <c r="A956" s="2"/>
      <c r="B956" s="1"/>
      <c r="C956" s="1"/>
      <c r="D956" s="1"/>
      <c r="E956" s="1"/>
      <c r="F956" s="1"/>
      <c r="G956" s="2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 spans="1:27" x14ac:dyDescent="0.15">
      <c r="A957" s="2"/>
      <c r="B957" s="1"/>
      <c r="C957" s="1"/>
      <c r="D957" s="1"/>
      <c r="E957" s="1"/>
      <c r="F957" s="1"/>
      <c r="G957" s="2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 spans="1:27" x14ac:dyDescent="0.15">
      <c r="A958" s="2"/>
      <c r="B958" s="1"/>
      <c r="C958" s="1"/>
      <c r="D958" s="1"/>
      <c r="E958" s="1"/>
      <c r="F958" s="1"/>
      <c r="G958" s="2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 spans="1:27" x14ac:dyDescent="0.15">
      <c r="A959" s="2"/>
      <c r="B959" s="1"/>
      <c r="C959" s="1"/>
      <c r="D959" s="1"/>
      <c r="E959" s="1"/>
      <c r="F959" s="1"/>
      <c r="G959" s="2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 spans="1:27" x14ac:dyDescent="0.15">
      <c r="A960" s="2"/>
      <c r="B960" s="1"/>
      <c r="C960" s="1"/>
      <c r="D960" s="1"/>
      <c r="E960" s="1"/>
      <c r="F960" s="1"/>
      <c r="G960" s="2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 spans="1:27" x14ac:dyDescent="0.15">
      <c r="A961" s="2"/>
      <c r="B961" s="1"/>
      <c r="C961" s="1"/>
      <c r="D961" s="1"/>
      <c r="E961" s="1"/>
      <c r="F961" s="1"/>
      <c r="G961" s="2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 spans="1:27" x14ac:dyDescent="0.15">
      <c r="A962" s="2"/>
      <c r="B962" s="1"/>
      <c r="C962" s="1"/>
      <c r="D962" s="1"/>
      <c r="E962" s="1"/>
      <c r="F962" s="1"/>
      <c r="G962" s="2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 spans="1:27" x14ac:dyDescent="0.15">
      <c r="A963" s="2"/>
      <c r="B963" s="1"/>
      <c r="C963" s="1"/>
      <c r="D963" s="1"/>
      <c r="E963" s="1"/>
      <c r="F963" s="1"/>
      <c r="G963" s="2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 spans="1:27" x14ac:dyDescent="0.15">
      <c r="A964" s="2"/>
      <c r="B964" s="1"/>
      <c r="C964" s="1"/>
      <c r="D964" s="1"/>
      <c r="E964" s="1"/>
      <c r="F964" s="1"/>
      <c r="G964" s="2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 spans="1:27" x14ac:dyDescent="0.15">
      <c r="A965" s="2"/>
      <c r="B965" s="1"/>
      <c r="C965" s="1"/>
      <c r="D965" s="1"/>
      <c r="E965" s="1"/>
      <c r="F965" s="1"/>
      <c r="G965" s="2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 spans="1:27" x14ac:dyDescent="0.15">
      <c r="A966" s="2"/>
      <c r="B966" s="1"/>
      <c r="C966" s="1"/>
      <c r="D966" s="1"/>
      <c r="E966" s="1"/>
      <c r="F966" s="1"/>
      <c r="G966" s="2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 spans="1:27" x14ac:dyDescent="0.15">
      <c r="A967" s="2"/>
      <c r="B967" s="1"/>
      <c r="C967" s="1"/>
      <c r="D967" s="1"/>
      <c r="E967" s="1"/>
      <c r="F967" s="1"/>
      <c r="G967" s="2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 spans="1:27" x14ac:dyDescent="0.15">
      <c r="A968" s="2"/>
      <c r="B968" s="1"/>
      <c r="C968" s="1"/>
      <c r="D968" s="1"/>
      <c r="E968" s="1"/>
      <c r="F968" s="1"/>
      <c r="G968" s="2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 spans="1:27" x14ac:dyDescent="0.15">
      <c r="A969" s="2"/>
      <c r="B969" s="1"/>
      <c r="C969" s="1"/>
      <c r="D969" s="1"/>
      <c r="E969" s="1"/>
      <c r="F969" s="1"/>
      <c r="G969" s="2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 spans="1:27" x14ac:dyDescent="0.15">
      <c r="A970" s="2"/>
      <c r="B970" s="1"/>
      <c r="C970" s="1"/>
      <c r="D970" s="1"/>
      <c r="E970" s="1"/>
      <c r="F970" s="1"/>
      <c r="G970" s="2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 spans="1:27" x14ac:dyDescent="0.15">
      <c r="A971" s="2"/>
      <c r="B971" s="1"/>
      <c r="C971" s="1"/>
      <c r="D971" s="1"/>
      <c r="E971" s="1"/>
      <c r="F971" s="1"/>
      <c r="G971" s="2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 spans="1:27" x14ac:dyDescent="0.15">
      <c r="A972" s="2"/>
      <c r="B972" s="1"/>
      <c r="C972" s="1"/>
      <c r="D972" s="1"/>
      <c r="E972" s="1"/>
      <c r="F972" s="1"/>
      <c r="G972" s="2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 spans="1:27" x14ac:dyDescent="0.15">
      <c r="A973" s="2"/>
      <c r="B973" s="1"/>
      <c r="C973" s="1"/>
      <c r="D973" s="1"/>
      <c r="E973" s="1"/>
      <c r="F973" s="1"/>
      <c r="G973" s="2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 spans="1:27" x14ac:dyDescent="0.15">
      <c r="A974" s="2"/>
      <c r="B974" s="1"/>
      <c r="C974" s="1"/>
      <c r="D974" s="1"/>
      <c r="E974" s="1"/>
      <c r="F974" s="1"/>
      <c r="G974" s="2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 spans="1:27" x14ac:dyDescent="0.15">
      <c r="A975" s="2"/>
      <c r="B975" s="1"/>
      <c r="C975" s="1"/>
      <c r="D975" s="1"/>
      <c r="E975" s="1"/>
      <c r="F975" s="1"/>
      <c r="G975" s="2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 spans="1:27" x14ac:dyDescent="0.15">
      <c r="A976" s="2"/>
      <c r="B976" s="1"/>
      <c r="C976" s="1"/>
      <c r="D976" s="1"/>
      <c r="E976" s="1"/>
      <c r="F976" s="1"/>
      <c r="G976" s="2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 spans="1:27" x14ac:dyDescent="0.15">
      <c r="A977" s="2"/>
      <c r="B977" s="1"/>
      <c r="C977" s="1"/>
      <c r="D977" s="1"/>
      <c r="E977" s="1"/>
      <c r="F977" s="1"/>
      <c r="G977" s="2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 spans="1:27" x14ac:dyDescent="0.15">
      <c r="A978" s="2"/>
      <c r="B978" s="1"/>
      <c r="C978" s="1"/>
      <c r="D978" s="1"/>
      <c r="E978" s="1"/>
      <c r="F978" s="1"/>
      <c r="G978" s="2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 spans="1:27" x14ac:dyDescent="0.15">
      <c r="A979" s="2"/>
      <c r="B979" s="1"/>
      <c r="C979" s="1"/>
      <c r="D979" s="1"/>
      <c r="E979" s="1"/>
      <c r="F979" s="1"/>
      <c r="G979" s="2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 spans="1:27" x14ac:dyDescent="0.15">
      <c r="A980" s="2"/>
      <c r="B980" s="1"/>
      <c r="C980" s="1"/>
      <c r="D980" s="1"/>
      <c r="E980" s="1"/>
      <c r="F980" s="1"/>
      <c r="G980" s="2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 spans="1:27" x14ac:dyDescent="0.15">
      <c r="A981" s="2"/>
      <c r="B981" s="1"/>
      <c r="C981" s="1"/>
      <c r="D981" s="1"/>
      <c r="E981" s="1"/>
      <c r="F981" s="1"/>
      <c r="G981" s="2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 spans="1:27" x14ac:dyDescent="0.15">
      <c r="A982" s="2"/>
      <c r="B982" s="1"/>
      <c r="C982" s="1"/>
      <c r="D982" s="1"/>
      <c r="E982" s="1"/>
      <c r="F982" s="1"/>
      <c r="G982" s="2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 spans="1:27" x14ac:dyDescent="0.15">
      <c r="A983" s="2"/>
      <c r="B983" s="1"/>
      <c r="C983" s="1"/>
      <c r="D983" s="1"/>
      <c r="E983" s="1"/>
      <c r="F983" s="1"/>
      <c r="G983" s="2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 spans="1:27" x14ac:dyDescent="0.15">
      <c r="A984" s="2"/>
      <c r="B984" s="1"/>
      <c r="C984" s="1"/>
      <c r="D984" s="1"/>
      <c r="E984" s="1"/>
      <c r="F984" s="1"/>
      <c r="G984" s="2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 spans="1:27" x14ac:dyDescent="0.15">
      <c r="A985" s="2"/>
      <c r="B985" s="1"/>
      <c r="C985" s="1"/>
      <c r="D985" s="1"/>
      <c r="E985" s="1"/>
      <c r="F985" s="1"/>
      <c r="G985" s="2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 spans="1:27" x14ac:dyDescent="0.15">
      <c r="A986" s="2"/>
      <c r="B986" s="1"/>
      <c r="C986" s="1"/>
      <c r="D986" s="1"/>
      <c r="E986" s="1"/>
      <c r="F986" s="1"/>
      <c r="G986" s="2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 spans="1:27" x14ac:dyDescent="0.15">
      <c r="A987" s="2"/>
      <c r="B987" s="1"/>
      <c r="C987" s="1"/>
      <c r="D987" s="1"/>
      <c r="E987" s="1"/>
      <c r="F987" s="1"/>
      <c r="G987" s="2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 spans="1:27" x14ac:dyDescent="0.15">
      <c r="A988" s="2"/>
      <c r="B988" s="1"/>
      <c r="C988" s="1"/>
      <c r="D988" s="1"/>
      <c r="E988" s="1"/>
      <c r="F988" s="1"/>
      <c r="G988" s="2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 spans="1:27" x14ac:dyDescent="0.15">
      <c r="A989" s="2"/>
      <c r="B989" s="1"/>
      <c r="C989" s="1"/>
      <c r="D989" s="1"/>
      <c r="E989" s="1"/>
      <c r="F989" s="1"/>
      <c r="G989" s="2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 spans="1:27" x14ac:dyDescent="0.15">
      <c r="A990" s="2"/>
      <c r="B990" s="1"/>
      <c r="C990" s="1"/>
      <c r="D990" s="1"/>
      <c r="E990" s="1"/>
      <c r="F990" s="1"/>
      <c r="G990" s="2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 spans="1:27" x14ac:dyDescent="0.15">
      <c r="A991" s="2"/>
      <c r="B991" s="1"/>
      <c r="C991" s="1"/>
      <c r="D991" s="1"/>
      <c r="E991" s="1"/>
      <c r="F991" s="1"/>
      <c r="G991" s="2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 spans="1:27" x14ac:dyDescent="0.15">
      <c r="A992" s="2"/>
      <c r="B992" s="1"/>
      <c r="C992" s="1"/>
      <c r="D992" s="1"/>
      <c r="E992" s="1"/>
      <c r="F992" s="1"/>
      <c r="G992" s="2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 spans="1:27" x14ac:dyDescent="0.15">
      <c r="A993" s="2"/>
      <c r="B993" s="1"/>
      <c r="C993" s="1"/>
      <c r="D993" s="1"/>
      <c r="E993" s="1"/>
      <c r="F993" s="1"/>
      <c r="G993" s="2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 spans="1:27" x14ac:dyDescent="0.15">
      <c r="A994" s="2"/>
      <c r="B994" s="1"/>
      <c r="C994" s="1"/>
      <c r="D994" s="1"/>
      <c r="E994" s="1"/>
      <c r="F994" s="1"/>
      <c r="G994" s="2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  <row r="995" spans="1:27" x14ac:dyDescent="0.15">
      <c r="A995" s="2"/>
      <c r="B995" s="1"/>
      <c r="C995" s="1"/>
      <c r="D995" s="1"/>
      <c r="E995" s="1"/>
      <c r="F995" s="1"/>
      <c r="G995" s="2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1"/>
    </row>
    <row r="996" spans="1:27" x14ac:dyDescent="0.15">
      <c r="A996" s="2"/>
      <c r="B996" s="1"/>
      <c r="C996" s="1"/>
      <c r="D996" s="1"/>
      <c r="E996" s="1"/>
      <c r="F996" s="1"/>
      <c r="G996" s="2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1"/>
    </row>
    <row r="997" spans="1:27" x14ac:dyDescent="0.15">
      <c r="A997" s="2"/>
      <c r="B997" s="1"/>
      <c r="C997" s="1"/>
      <c r="D997" s="1"/>
      <c r="E997" s="1"/>
      <c r="F997" s="1"/>
      <c r="G997" s="2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1"/>
    </row>
    <row r="998" spans="1:27" x14ac:dyDescent="0.15">
      <c r="A998" s="2"/>
      <c r="B998" s="1"/>
      <c r="C998" s="1"/>
      <c r="D998" s="1"/>
      <c r="E998" s="1"/>
      <c r="F998" s="1"/>
      <c r="G998" s="2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1"/>
    </row>
    <row r="999" spans="1:27" x14ac:dyDescent="0.15">
      <c r="A999" s="2"/>
      <c r="B999" s="1"/>
      <c r="C999" s="1"/>
      <c r="D999" s="1"/>
      <c r="E999" s="1"/>
      <c r="F999" s="1"/>
      <c r="G999" s="2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1"/>
    </row>
    <row r="1000" spans="1:27" x14ac:dyDescent="0.15">
      <c r="A1000" s="2"/>
      <c r="B1000" s="1"/>
      <c r="C1000" s="1"/>
      <c r="D1000" s="1"/>
      <c r="E1000" s="1"/>
      <c r="F1000" s="1"/>
      <c r="G1000" s="2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1"/>
    </row>
    <row r="1001" spans="1:27" x14ac:dyDescent="0.15">
      <c r="A1001" s="2"/>
      <c r="B1001" s="1"/>
      <c r="C1001" s="1"/>
      <c r="D1001" s="1"/>
      <c r="E1001" s="1"/>
      <c r="F1001" s="1"/>
      <c r="G1001" s="2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1"/>
    </row>
    <row r="1002" spans="1:27" x14ac:dyDescent="0.15">
      <c r="A1002" s="2"/>
      <c r="B1002" s="1"/>
      <c r="C1002" s="1"/>
      <c r="D1002" s="1"/>
      <c r="E1002" s="1"/>
      <c r="F1002" s="1"/>
      <c r="G1002" s="2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1"/>
    </row>
    <row r="1003" spans="1:27" x14ac:dyDescent="0.15">
      <c r="A1003" s="2"/>
      <c r="B1003" s="1"/>
      <c r="C1003" s="1"/>
      <c r="D1003" s="1"/>
      <c r="E1003" s="1"/>
      <c r="F1003" s="1"/>
      <c r="G1003" s="2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1"/>
    </row>
    <row r="1004" spans="1:27" x14ac:dyDescent="0.15">
      <c r="A1004" s="2"/>
      <c r="B1004" s="1"/>
      <c r="C1004" s="1"/>
      <c r="D1004" s="1"/>
      <c r="E1004" s="1"/>
      <c r="F1004" s="1"/>
      <c r="G1004" s="2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1"/>
    </row>
  </sheetData>
  <autoFilter ref="A1:I784" xr:uid="{00000000-0001-0000-0000-000000000000}"/>
  <pageMargins left="0.7" right="0.7" top="0.75" bottom="0.75" header="0.3" footer="0.3"/>
  <headerFooter>
    <oddFooter>&amp;R_x000D_&amp;1#&amp;"Aptos"&amp;10&amp;K000000 DVC- Internal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B6585-A592-9840-BA85-DA3C2A1BE76A}">
  <dimension ref="A1:S358"/>
  <sheetViews>
    <sheetView topLeftCell="A346" workbookViewId="0">
      <selection activeCell="E1" sqref="E1"/>
    </sheetView>
  </sheetViews>
  <sheetFormatPr baseColWidth="10" defaultColWidth="11.5" defaultRowHeight="13" x14ac:dyDescent="0.15"/>
  <cols>
    <col min="2" max="2" width="11.6640625" bestFit="1" customWidth="1"/>
    <col min="15" max="15" width="68.5" bestFit="1" customWidth="1"/>
  </cols>
  <sheetData>
    <row r="1" spans="1:19" ht="48" x14ac:dyDescent="0.2">
      <c r="A1" s="15" t="s">
        <v>0</v>
      </c>
      <c r="B1" s="16" t="s">
        <v>1</v>
      </c>
      <c r="C1" s="16" t="s">
        <v>2</v>
      </c>
      <c r="D1" s="16" t="s">
        <v>3</v>
      </c>
      <c r="E1" s="2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M1" s="5"/>
      <c r="N1" s="5"/>
      <c r="O1" s="5"/>
      <c r="P1" s="5"/>
      <c r="Q1" s="5"/>
      <c r="R1" s="5"/>
      <c r="S1" s="5"/>
    </row>
    <row r="2" spans="1:19" ht="42" x14ac:dyDescent="0.15">
      <c r="A2" s="8">
        <v>1</v>
      </c>
      <c r="B2" s="9" t="s">
        <v>148</v>
      </c>
      <c r="C2" s="9" t="s">
        <v>28</v>
      </c>
      <c r="D2" s="10">
        <v>166.8</v>
      </c>
      <c r="E2" s="10">
        <v>175.3</v>
      </c>
      <c r="F2" s="10">
        <v>0</v>
      </c>
      <c r="G2" s="10">
        <f>E2/1000</f>
        <v>0.17530000000000001</v>
      </c>
      <c r="H2" s="11" t="s">
        <v>686</v>
      </c>
      <c r="I2" s="12" t="s">
        <v>687</v>
      </c>
      <c r="K2" s="7">
        <f>D2+8.5</f>
        <v>175.3</v>
      </c>
      <c r="L2">
        <f>IF(K2&lt;&gt;"",K2,D2)</f>
        <v>175.3</v>
      </c>
      <c r="M2" s="6"/>
      <c r="R2" s="7"/>
      <c r="S2" s="7"/>
    </row>
    <row r="3" spans="1:19" ht="28" x14ac:dyDescent="0.15">
      <c r="A3" s="8">
        <v>2</v>
      </c>
      <c r="B3" s="9" t="s">
        <v>147</v>
      </c>
      <c r="C3" s="9" t="s">
        <v>19</v>
      </c>
      <c r="D3" s="10">
        <v>131.87</v>
      </c>
      <c r="E3" s="10">
        <v>140.37</v>
      </c>
      <c r="F3" s="10">
        <v>36.04</v>
      </c>
      <c r="G3" s="9">
        <f>E3/1000+G2</f>
        <v>0.31567000000000001</v>
      </c>
      <c r="H3" s="11" t="s">
        <v>686</v>
      </c>
      <c r="I3" s="12"/>
      <c r="K3" s="7">
        <f t="shared" ref="K3:K5" si="0">D3+8.5</f>
        <v>140.37</v>
      </c>
      <c r="L3">
        <f t="shared" ref="L3:L66" si="1">IF(K3&lt;&gt;"",K3,D3)</f>
        <v>140.37</v>
      </c>
      <c r="M3" s="6"/>
      <c r="R3" s="7"/>
      <c r="S3" s="7"/>
    </row>
    <row r="4" spans="1:19" ht="28" x14ac:dyDescent="0.15">
      <c r="A4" s="8">
        <v>3</v>
      </c>
      <c r="B4" s="9" t="s">
        <v>146</v>
      </c>
      <c r="C4" s="9" t="s">
        <v>28</v>
      </c>
      <c r="D4" s="10">
        <v>151.08000000000001</v>
      </c>
      <c r="E4" s="10">
        <v>159.58000000000001</v>
      </c>
      <c r="F4" s="10">
        <v>25.18</v>
      </c>
      <c r="G4" s="9">
        <f t="shared" ref="G4:G67" si="2">E4/1000+G3</f>
        <v>0.47525000000000001</v>
      </c>
      <c r="H4" s="11" t="s">
        <v>686</v>
      </c>
      <c r="I4" s="12"/>
      <c r="K4" s="7">
        <f t="shared" si="0"/>
        <v>159.58000000000001</v>
      </c>
      <c r="L4">
        <f t="shared" si="1"/>
        <v>159.58000000000001</v>
      </c>
      <c r="M4" s="6"/>
      <c r="R4" s="7"/>
      <c r="S4" s="7"/>
    </row>
    <row r="5" spans="1:19" ht="28" x14ac:dyDescent="0.15">
      <c r="A5" s="8">
        <v>4</v>
      </c>
      <c r="B5" s="9" t="s">
        <v>145</v>
      </c>
      <c r="C5" s="9" t="s">
        <v>19</v>
      </c>
      <c r="D5" s="10">
        <v>261.86</v>
      </c>
      <c r="E5" s="10">
        <v>270.36</v>
      </c>
      <c r="F5" s="10">
        <v>39.909999999999997</v>
      </c>
      <c r="G5" s="9">
        <f t="shared" si="2"/>
        <v>0.74560999999999999</v>
      </c>
      <c r="H5" s="11" t="s">
        <v>686</v>
      </c>
      <c r="I5" s="12"/>
      <c r="K5" s="7">
        <f t="shared" si="0"/>
        <v>270.36</v>
      </c>
      <c r="L5">
        <f t="shared" si="1"/>
        <v>270.36</v>
      </c>
      <c r="M5" s="6"/>
      <c r="R5" s="7"/>
      <c r="S5" s="7"/>
    </row>
    <row r="6" spans="1:19" ht="28" x14ac:dyDescent="0.15">
      <c r="A6" s="8">
        <v>5</v>
      </c>
      <c r="B6" s="9" t="s">
        <v>144</v>
      </c>
      <c r="C6" s="9" t="s">
        <v>16</v>
      </c>
      <c r="D6" s="10">
        <v>150.6</v>
      </c>
      <c r="E6" s="10">
        <v>150.6</v>
      </c>
      <c r="F6" s="10">
        <v>9.61</v>
      </c>
      <c r="G6" s="9">
        <f t="shared" si="2"/>
        <v>0.89620999999999995</v>
      </c>
      <c r="H6" s="11" t="s">
        <v>686</v>
      </c>
      <c r="I6" s="12"/>
      <c r="L6">
        <f t="shared" si="1"/>
        <v>150.6</v>
      </c>
      <c r="M6" s="6"/>
      <c r="R6" s="7"/>
      <c r="S6" s="7"/>
    </row>
    <row r="7" spans="1:19" ht="28" x14ac:dyDescent="0.15">
      <c r="A7" s="8">
        <v>6</v>
      </c>
      <c r="B7" s="9" t="s">
        <v>143</v>
      </c>
      <c r="C7" s="9" t="s">
        <v>14</v>
      </c>
      <c r="D7" s="10">
        <v>139.99</v>
      </c>
      <c r="E7" s="10">
        <v>148.49</v>
      </c>
      <c r="F7" s="10">
        <v>20.100000000000001</v>
      </c>
      <c r="G7" s="9">
        <f t="shared" si="2"/>
        <v>1.0447</v>
      </c>
      <c r="H7" s="11" t="s">
        <v>686</v>
      </c>
      <c r="I7" s="12"/>
      <c r="K7" s="7">
        <f t="shared" ref="K7:K10" si="3">D7+8.5</f>
        <v>148.49</v>
      </c>
      <c r="L7">
        <f t="shared" si="1"/>
        <v>148.49</v>
      </c>
      <c r="M7" s="6"/>
      <c r="R7" s="7"/>
      <c r="S7" s="7"/>
    </row>
    <row r="8" spans="1:19" ht="28" x14ac:dyDescent="0.15">
      <c r="A8" s="8">
        <v>7</v>
      </c>
      <c r="B8" s="9" t="s">
        <v>142</v>
      </c>
      <c r="C8" s="9" t="s">
        <v>19</v>
      </c>
      <c r="D8" s="10">
        <v>140.91</v>
      </c>
      <c r="E8" s="10">
        <v>149.41</v>
      </c>
      <c r="F8" s="10">
        <v>39.22</v>
      </c>
      <c r="G8" s="9">
        <f t="shared" si="2"/>
        <v>1.19411</v>
      </c>
      <c r="H8" s="11" t="s">
        <v>686</v>
      </c>
      <c r="I8" s="12"/>
      <c r="K8" s="7">
        <f t="shared" si="3"/>
        <v>149.41</v>
      </c>
      <c r="L8">
        <f t="shared" si="1"/>
        <v>149.41</v>
      </c>
      <c r="M8" s="6"/>
      <c r="R8" s="7"/>
      <c r="S8" s="7"/>
    </row>
    <row r="9" spans="1:19" ht="28" x14ac:dyDescent="0.15">
      <c r="A9" s="8">
        <v>8</v>
      </c>
      <c r="B9" s="9" t="s">
        <v>141</v>
      </c>
      <c r="C9" s="9" t="s">
        <v>19</v>
      </c>
      <c r="D9" s="10">
        <v>264.02999999999997</v>
      </c>
      <c r="E9" s="10">
        <v>272.52999999999997</v>
      </c>
      <c r="F9" s="10">
        <v>9.34</v>
      </c>
      <c r="G9" s="9">
        <f t="shared" si="2"/>
        <v>1.4666399999999999</v>
      </c>
      <c r="H9" s="11" t="s">
        <v>686</v>
      </c>
      <c r="I9" s="12"/>
      <c r="K9" s="7">
        <f t="shared" si="3"/>
        <v>272.52999999999997</v>
      </c>
      <c r="L9">
        <f t="shared" si="1"/>
        <v>272.52999999999997</v>
      </c>
      <c r="M9" s="6"/>
      <c r="R9" s="7"/>
      <c r="S9" s="7"/>
    </row>
    <row r="10" spans="1:19" ht="28" x14ac:dyDescent="0.15">
      <c r="A10" s="8">
        <v>9</v>
      </c>
      <c r="B10" s="9" t="s">
        <v>140</v>
      </c>
      <c r="C10" s="9" t="s">
        <v>19</v>
      </c>
      <c r="D10" s="10">
        <v>251.15</v>
      </c>
      <c r="E10" s="10">
        <v>259.64999999999998</v>
      </c>
      <c r="F10" s="10">
        <v>17.190000000000001</v>
      </c>
      <c r="G10" s="9">
        <f t="shared" si="2"/>
        <v>1.7262899999999999</v>
      </c>
      <c r="H10" s="11" t="s">
        <v>686</v>
      </c>
      <c r="I10" s="12"/>
      <c r="K10" s="7">
        <f t="shared" si="3"/>
        <v>259.64999999999998</v>
      </c>
      <c r="L10">
        <f t="shared" si="1"/>
        <v>259.64999999999998</v>
      </c>
      <c r="M10" s="6"/>
      <c r="R10" s="7"/>
      <c r="S10" s="7"/>
    </row>
    <row r="11" spans="1:19" ht="28" x14ac:dyDescent="0.15">
      <c r="A11" s="8">
        <v>10</v>
      </c>
      <c r="B11" s="9" t="s">
        <v>139</v>
      </c>
      <c r="C11" s="9" t="s">
        <v>23</v>
      </c>
      <c r="D11" s="10">
        <v>328.49</v>
      </c>
      <c r="E11" s="10">
        <v>328.49</v>
      </c>
      <c r="F11" s="10">
        <v>1.77</v>
      </c>
      <c r="G11" s="9">
        <f t="shared" si="2"/>
        <v>2.0547800000000001</v>
      </c>
      <c r="H11" s="11" t="s">
        <v>686</v>
      </c>
      <c r="I11" s="12"/>
      <c r="L11">
        <f t="shared" si="1"/>
        <v>328.49</v>
      </c>
      <c r="M11" s="6"/>
      <c r="R11" s="7"/>
      <c r="S11" s="7"/>
    </row>
    <row r="12" spans="1:19" ht="28" x14ac:dyDescent="0.15">
      <c r="A12" s="8">
        <v>11</v>
      </c>
      <c r="B12" s="9" t="s">
        <v>138</v>
      </c>
      <c r="C12" s="9" t="s">
        <v>23</v>
      </c>
      <c r="D12" s="10">
        <v>260.55</v>
      </c>
      <c r="E12" s="10">
        <v>260.55</v>
      </c>
      <c r="F12" s="10">
        <v>2.73</v>
      </c>
      <c r="G12" s="9">
        <f t="shared" si="2"/>
        <v>2.3153299999999999</v>
      </c>
      <c r="H12" s="11" t="s">
        <v>686</v>
      </c>
      <c r="I12" s="12"/>
      <c r="L12">
        <f t="shared" si="1"/>
        <v>260.55</v>
      </c>
      <c r="M12" s="6"/>
      <c r="R12" s="7"/>
      <c r="S12" s="7"/>
    </row>
    <row r="13" spans="1:19" ht="28" x14ac:dyDescent="0.15">
      <c r="A13" s="8">
        <v>12</v>
      </c>
      <c r="B13" s="9" t="s">
        <v>137</v>
      </c>
      <c r="C13" s="9" t="s">
        <v>19</v>
      </c>
      <c r="D13" s="10">
        <v>252.11</v>
      </c>
      <c r="E13" s="10">
        <v>260.61</v>
      </c>
      <c r="F13" s="10">
        <v>46.9</v>
      </c>
      <c r="G13" s="9">
        <f t="shared" si="2"/>
        <v>2.5759400000000001</v>
      </c>
      <c r="H13" s="11" t="s">
        <v>686</v>
      </c>
      <c r="I13" s="12"/>
      <c r="K13" s="7">
        <f t="shared" ref="K13:K15" si="4">D13+8.5</f>
        <v>260.61</v>
      </c>
      <c r="L13">
        <f t="shared" si="1"/>
        <v>260.61</v>
      </c>
      <c r="M13" s="6"/>
      <c r="R13" s="7"/>
      <c r="S13" s="7"/>
    </row>
    <row r="14" spans="1:19" ht="28" x14ac:dyDescent="0.15">
      <c r="A14" s="8">
        <v>13</v>
      </c>
      <c r="B14" s="9" t="s">
        <v>136</v>
      </c>
      <c r="C14" s="9" t="s">
        <v>19</v>
      </c>
      <c r="D14" s="10">
        <v>249.94</v>
      </c>
      <c r="E14" s="10">
        <v>258.44</v>
      </c>
      <c r="F14" s="10">
        <v>0.59</v>
      </c>
      <c r="G14" s="9">
        <f t="shared" si="2"/>
        <v>2.8343800000000003</v>
      </c>
      <c r="H14" s="11" t="s">
        <v>686</v>
      </c>
      <c r="I14" s="12"/>
      <c r="K14" s="7">
        <f t="shared" si="4"/>
        <v>258.44</v>
      </c>
      <c r="L14">
        <f t="shared" si="1"/>
        <v>258.44</v>
      </c>
      <c r="M14" s="6"/>
      <c r="R14" s="7"/>
      <c r="S14" s="7"/>
    </row>
    <row r="15" spans="1:19" ht="28" x14ac:dyDescent="0.15">
      <c r="A15" s="8">
        <v>14</v>
      </c>
      <c r="B15" s="9" t="s">
        <v>135</v>
      </c>
      <c r="C15" s="9" t="s">
        <v>19</v>
      </c>
      <c r="D15" s="10">
        <v>178.21</v>
      </c>
      <c r="E15" s="10">
        <v>186.71</v>
      </c>
      <c r="F15" s="10">
        <v>39.32</v>
      </c>
      <c r="G15" s="9">
        <f t="shared" si="2"/>
        <v>3.0210900000000005</v>
      </c>
      <c r="H15" s="11" t="s">
        <v>686</v>
      </c>
      <c r="I15" s="12"/>
      <c r="K15" s="7">
        <f t="shared" si="4"/>
        <v>186.71</v>
      </c>
      <c r="L15">
        <f t="shared" si="1"/>
        <v>186.71</v>
      </c>
      <c r="M15" s="6"/>
      <c r="R15" s="7"/>
      <c r="S15" s="7"/>
    </row>
    <row r="16" spans="1:19" ht="28" x14ac:dyDescent="0.15">
      <c r="A16" s="8">
        <v>15</v>
      </c>
      <c r="B16" s="9" t="s">
        <v>134</v>
      </c>
      <c r="C16" s="9" t="s">
        <v>23</v>
      </c>
      <c r="D16" s="10">
        <v>289.45</v>
      </c>
      <c r="E16" s="10">
        <v>289.45</v>
      </c>
      <c r="F16" s="10">
        <v>0.22</v>
      </c>
      <c r="G16" s="9">
        <f t="shared" si="2"/>
        <v>3.3105400000000005</v>
      </c>
      <c r="H16" s="11" t="s">
        <v>686</v>
      </c>
      <c r="I16" s="12"/>
      <c r="L16">
        <f t="shared" si="1"/>
        <v>289.45</v>
      </c>
      <c r="M16" s="6"/>
      <c r="R16" s="7"/>
      <c r="S16" s="7"/>
    </row>
    <row r="17" spans="1:19" ht="28" x14ac:dyDescent="0.15">
      <c r="A17" s="8">
        <v>16</v>
      </c>
      <c r="B17" s="9" t="s">
        <v>133</v>
      </c>
      <c r="C17" s="9" t="s">
        <v>23</v>
      </c>
      <c r="D17" s="10">
        <v>256.89</v>
      </c>
      <c r="E17" s="10">
        <v>256.89</v>
      </c>
      <c r="F17" s="10">
        <v>0.08</v>
      </c>
      <c r="G17" s="9">
        <f t="shared" si="2"/>
        <v>3.5674300000000003</v>
      </c>
      <c r="H17" s="11" t="s">
        <v>686</v>
      </c>
      <c r="I17" s="12"/>
      <c r="L17">
        <f t="shared" si="1"/>
        <v>256.89</v>
      </c>
      <c r="M17" s="6"/>
      <c r="R17" s="7"/>
      <c r="S17" s="7"/>
    </row>
    <row r="18" spans="1:19" ht="28" x14ac:dyDescent="0.15">
      <c r="A18" s="8">
        <v>17</v>
      </c>
      <c r="B18" s="9" t="s">
        <v>132</v>
      </c>
      <c r="C18" s="9" t="s">
        <v>28</v>
      </c>
      <c r="D18" s="10">
        <v>301.33999999999997</v>
      </c>
      <c r="E18" s="10">
        <v>309.83999999999997</v>
      </c>
      <c r="F18" s="10">
        <v>11.8</v>
      </c>
      <c r="G18" s="9">
        <f t="shared" si="2"/>
        <v>3.8772700000000002</v>
      </c>
      <c r="H18" s="11" t="s">
        <v>686</v>
      </c>
      <c r="I18" s="12"/>
      <c r="K18" s="7">
        <f>D18+8.5</f>
        <v>309.83999999999997</v>
      </c>
      <c r="L18">
        <f t="shared" si="1"/>
        <v>309.83999999999997</v>
      </c>
      <c r="M18" s="6"/>
      <c r="R18" s="7"/>
      <c r="S18" s="7"/>
    </row>
    <row r="19" spans="1:19" ht="28" x14ac:dyDescent="0.15">
      <c r="A19" s="8">
        <v>18</v>
      </c>
      <c r="B19" s="9" t="s">
        <v>131</v>
      </c>
      <c r="C19" s="9" t="s">
        <v>23</v>
      </c>
      <c r="D19" s="10">
        <v>326.04000000000002</v>
      </c>
      <c r="E19" s="10">
        <v>326.04000000000002</v>
      </c>
      <c r="F19" s="10">
        <v>0.06</v>
      </c>
      <c r="G19" s="9">
        <f t="shared" si="2"/>
        <v>4.2033100000000001</v>
      </c>
      <c r="H19" s="11" t="s">
        <v>686</v>
      </c>
      <c r="I19" s="12"/>
      <c r="L19">
        <f t="shared" si="1"/>
        <v>326.04000000000002</v>
      </c>
      <c r="M19" s="6"/>
      <c r="R19" s="7"/>
      <c r="S19" s="7"/>
    </row>
    <row r="20" spans="1:19" ht="28" x14ac:dyDescent="0.15">
      <c r="A20" s="8">
        <v>19</v>
      </c>
      <c r="B20" s="9" t="s">
        <v>130</v>
      </c>
      <c r="C20" s="9" t="s">
        <v>19</v>
      </c>
      <c r="D20" s="10">
        <v>280.44</v>
      </c>
      <c r="E20" s="10">
        <v>288.94</v>
      </c>
      <c r="F20" s="10">
        <v>10.130000000000001</v>
      </c>
      <c r="G20" s="9">
        <f t="shared" si="2"/>
        <v>4.4922500000000003</v>
      </c>
      <c r="H20" s="11" t="s">
        <v>686</v>
      </c>
      <c r="I20" s="12"/>
      <c r="K20" s="7">
        <f t="shared" ref="K20:K23" si="5">D20+8.5</f>
        <v>288.94</v>
      </c>
      <c r="L20">
        <f t="shared" si="1"/>
        <v>288.94</v>
      </c>
      <c r="M20" s="6"/>
      <c r="R20" s="7"/>
      <c r="S20" s="7"/>
    </row>
    <row r="21" spans="1:19" ht="28" x14ac:dyDescent="0.15">
      <c r="A21" s="8">
        <v>20</v>
      </c>
      <c r="B21" s="9" t="s">
        <v>129</v>
      </c>
      <c r="C21" s="9" t="s">
        <v>19</v>
      </c>
      <c r="D21" s="10">
        <v>219.29</v>
      </c>
      <c r="E21" s="10">
        <v>227.79</v>
      </c>
      <c r="F21" s="10">
        <v>32.85</v>
      </c>
      <c r="G21" s="9">
        <f t="shared" si="2"/>
        <v>4.72004</v>
      </c>
      <c r="H21" s="11" t="s">
        <v>686</v>
      </c>
      <c r="I21" s="12"/>
      <c r="K21" s="7">
        <f t="shared" si="5"/>
        <v>227.79</v>
      </c>
      <c r="L21">
        <f t="shared" si="1"/>
        <v>227.79</v>
      </c>
      <c r="M21" s="6"/>
      <c r="R21" s="7"/>
      <c r="S21" s="7"/>
    </row>
    <row r="22" spans="1:19" ht="28" x14ac:dyDescent="0.15">
      <c r="A22" s="8">
        <v>21</v>
      </c>
      <c r="B22" s="9" t="s">
        <v>128</v>
      </c>
      <c r="C22" s="9" t="s">
        <v>19</v>
      </c>
      <c r="D22" s="10">
        <v>328.24</v>
      </c>
      <c r="E22" s="10">
        <v>336.74</v>
      </c>
      <c r="F22" s="10">
        <v>56.42</v>
      </c>
      <c r="G22" s="9">
        <f t="shared" si="2"/>
        <v>5.0567799999999998</v>
      </c>
      <c r="H22" s="11" t="s">
        <v>686</v>
      </c>
      <c r="I22" s="12"/>
      <c r="K22" s="7">
        <f t="shared" si="5"/>
        <v>336.74</v>
      </c>
      <c r="L22">
        <f t="shared" si="1"/>
        <v>336.74</v>
      </c>
      <c r="M22" s="6"/>
      <c r="R22" s="7"/>
      <c r="S22" s="7"/>
    </row>
    <row r="23" spans="1:19" ht="28" x14ac:dyDescent="0.15">
      <c r="A23" s="8">
        <v>22</v>
      </c>
      <c r="B23" s="9" t="s">
        <v>127</v>
      </c>
      <c r="C23" s="9" t="s">
        <v>28</v>
      </c>
      <c r="D23" s="10">
        <v>145.4</v>
      </c>
      <c r="E23" s="10">
        <v>153.9</v>
      </c>
      <c r="F23" s="10">
        <v>22.65</v>
      </c>
      <c r="G23" s="9">
        <f t="shared" si="2"/>
        <v>5.21068</v>
      </c>
      <c r="H23" s="11" t="s">
        <v>686</v>
      </c>
      <c r="I23" s="12"/>
      <c r="K23" s="7">
        <f t="shared" si="5"/>
        <v>153.9</v>
      </c>
      <c r="L23">
        <f t="shared" si="1"/>
        <v>153.9</v>
      </c>
      <c r="M23" s="6"/>
      <c r="R23" s="7"/>
      <c r="S23" s="7"/>
    </row>
    <row r="24" spans="1:19" ht="28" x14ac:dyDescent="0.15">
      <c r="A24" s="8">
        <v>23</v>
      </c>
      <c r="B24" s="9" t="s">
        <v>126</v>
      </c>
      <c r="C24" s="9" t="s">
        <v>23</v>
      </c>
      <c r="D24" s="10">
        <v>323.86</v>
      </c>
      <c r="E24" s="10">
        <v>323.86</v>
      </c>
      <c r="F24" s="10">
        <v>0.83</v>
      </c>
      <c r="G24" s="9">
        <f t="shared" si="2"/>
        <v>5.5345399999999998</v>
      </c>
      <c r="H24" s="11" t="s">
        <v>686</v>
      </c>
      <c r="I24" s="12"/>
      <c r="L24">
        <f t="shared" si="1"/>
        <v>323.86</v>
      </c>
      <c r="M24" s="6"/>
      <c r="R24" s="7"/>
      <c r="S24" s="7"/>
    </row>
    <row r="25" spans="1:19" ht="28" x14ac:dyDescent="0.15">
      <c r="A25" s="8">
        <v>24</v>
      </c>
      <c r="B25" s="9" t="s">
        <v>125</v>
      </c>
      <c r="C25" s="9" t="s">
        <v>23</v>
      </c>
      <c r="D25" s="10">
        <v>337.81</v>
      </c>
      <c r="E25" s="10">
        <v>337.81</v>
      </c>
      <c r="F25" s="10">
        <v>0.65</v>
      </c>
      <c r="G25" s="9">
        <f t="shared" si="2"/>
        <v>5.87235</v>
      </c>
      <c r="H25" s="11" t="s">
        <v>686</v>
      </c>
      <c r="I25" s="12"/>
      <c r="L25">
        <f t="shared" si="1"/>
        <v>337.81</v>
      </c>
      <c r="M25" s="6"/>
      <c r="R25" s="7"/>
      <c r="S25" s="7"/>
    </row>
    <row r="26" spans="1:19" ht="28" x14ac:dyDescent="0.15">
      <c r="A26" s="8">
        <v>25</v>
      </c>
      <c r="B26" s="9" t="s">
        <v>124</v>
      </c>
      <c r="C26" s="9" t="s">
        <v>23</v>
      </c>
      <c r="D26" s="10">
        <v>376.57</v>
      </c>
      <c r="E26" s="10">
        <v>376.57</v>
      </c>
      <c r="F26" s="10">
        <v>0.65</v>
      </c>
      <c r="G26" s="9">
        <f t="shared" si="2"/>
        <v>6.24892</v>
      </c>
      <c r="H26" s="11" t="s">
        <v>686</v>
      </c>
      <c r="I26" s="12"/>
      <c r="L26">
        <f t="shared" si="1"/>
        <v>376.57</v>
      </c>
      <c r="M26" s="6"/>
      <c r="R26" s="7"/>
      <c r="S26" s="7"/>
    </row>
    <row r="27" spans="1:19" ht="28" x14ac:dyDescent="0.15">
      <c r="A27" s="8">
        <v>26</v>
      </c>
      <c r="B27" s="9" t="s">
        <v>123</v>
      </c>
      <c r="C27" s="9" t="s">
        <v>28</v>
      </c>
      <c r="D27" s="10">
        <v>301.36</v>
      </c>
      <c r="E27" s="10">
        <v>309.86</v>
      </c>
      <c r="F27" s="10">
        <v>19.239999999999998</v>
      </c>
      <c r="G27" s="9">
        <f t="shared" si="2"/>
        <v>6.5587800000000005</v>
      </c>
      <c r="H27" s="11" t="s">
        <v>686</v>
      </c>
      <c r="I27" s="12"/>
      <c r="K27" s="7">
        <f>D27+8.5</f>
        <v>309.86</v>
      </c>
      <c r="L27">
        <f t="shared" si="1"/>
        <v>309.86</v>
      </c>
      <c r="M27" s="6"/>
      <c r="R27" s="7"/>
      <c r="S27" s="7"/>
    </row>
    <row r="28" spans="1:19" ht="28" x14ac:dyDescent="0.15">
      <c r="A28" s="8">
        <v>27</v>
      </c>
      <c r="B28" s="9" t="s">
        <v>122</v>
      </c>
      <c r="C28" s="9" t="s">
        <v>23</v>
      </c>
      <c r="D28" s="10">
        <v>295.83</v>
      </c>
      <c r="E28" s="10">
        <v>295.83</v>
      </c>
      <c r="F28" s="10">
        <v>0.34</v>
      </c>
      <c r="G28" s="9">
        <f t="shared" si="2"/>
        <v>6.8546100000000001</v>
      </c>
      <c r="H28" s="11" t="s">
        <v>686</v>
      </c>
      <c r="I28" s="12"/>
      <c r="L28">
        <f t="shared" si="1"/>
        <v>295.83</v>
      </c>
      <c r="M28" s="6"/>
      <c r="R28" s="7"/>
      <c r="S28" s="7"/>
    </row>
    <row r="29" spans="1:19" ht="28" x14ac:dyDescent="0.15">
      <c r="A29" s="8">
        <v>28</v>
      </c>
      <c r="B29" s="9" t="s">
        <v>121</v>
      </c>
      <c r="C29" s="9" t="s">
        <v>23</v>
      </c>
      <c r="D29" s="10">
        <v>318.42</v>
      </c>
      <c r="E29" s="10">
        <v>318.42</v>
      </c>
      <c r="F29" s="10">
        <v>0.16</v>
      </c>
      <c r="G29" s="9">
        <f t="shared" si="2"/>
        <v>7.1730299999999998</v>
      </c>
      <c r="H29" s="11" t="s">
        <v>686</v>
      </c>
      <c r="I29" s="12"/>
      <c r="L29">
        <f t="shared" si="1"/>
        <v>318.42</v>
      </c>
      <c r="M29" s="6"/>
      <c r="R29" s="7"/>
      <c r="S29" s="7"/>
    </row>
    <row r="30" spans="1:19" ht="28" x14ac:dyDescent="0.15">
      <c r="A30" s="8">
        <v>29</v>
      </c>
      <c r="B30" s="9" t="s">
        <v>118</v>
      </c>
      <c r="C30" s="9" t="s">
        <v>19</v>
      </c>
      <c r="D30" s="10">
        <v>139.97</v>
      </c>
      <c r="E30" s="10">
        <v>148.47</v>
      </c>
      <c r="F30" s="10">
        <v>55.16</v>
      </c>
      <c r="G30" s="9">
        <f t="shared" si="2"/>
        <v>7.3214999999999995</v>
      </c>
      <c r="H30" s="11" t="s">
        <v>686</v>
      </c>
      <c r="I30" s="12"/>
      <c r="K30" s="7">
        <f>D30+8.5</f>
        <v>148.47</v>
      </c>
      <c r="L30">
        <f t="shared" si="1"/>
        <v>148.47</v>
      </c>
      <c r="M30" s="6"/>
      <c r="R30" s="7"/>
      <c r="S30" s="7"/>
    </row>
    <row r="31" spans="1:19" ht="28" x14ac:dyDescent="0.15">
      <c r="A31" s="8">
        <v>30</v>
      </c>
      <c r="B31" s="9" t="s">
        <v>117</v>
      </c>
      <c r="C31" s="9" t="s">
        <v>23</v>
      </c>
      <c r="D31" s="10">
        <v>239.82</v>
      </c>
      <c r="E31" s="10">
        <v>239.82</v>
      </c>
      <c r="F31" s="10">
        <v>0.88</v>
      </c>
      <c r="G31" s="9">
        <f t="shared" si="2"/>
        <v>7.5613199999999994</v>
      </c>
      <c r="H31" s="11" t="s">
        <v>686</v>
      </c>
      <c r="I31" s="12"/>
      <c r="L31">
        <f t="shared" si="1"/>
        <v>239.82</v>
      </c>
      <c r="M31" s="6"/>
      <c r="R31" s="7"/>
      <c r="S31" s="7"/>
    </row>
    <row r="32" spans="1:19" ht="28" x14ac:dyDescent="0.15">
      <c r="A32" s="8">
        <v>31</v>
      </c>
      <c r="B32" s="9" t="s">
        <v>680</v>
      </c>
      <c r="C32" s="9" t="s">
        <v>19</v>
      </c>
      <c r="D32" s="10">
        <v>279.27999999999997</v>
      </c>
      <c r="E32" s="10">
        <v>287.77999999999997</v>
      </c>
      <c r="F32" s="10">
        <v>13.95</v>
      </c>
      <c r="G32" s="9">
        <f t="shared" si="2"/>
        <v>7.8490999999999991</v>
      </c>
      <c r="H32" s="11" t="s">
        <v>686</v>
      </c>
      <c r="I32" s="12"/>
      <c r="K32" s="7">
        <f t="shared" ref="K32:K33" si="6">D32+8.5</f>
        <v>287.77999999999997</v>
      </c>
      <c r="L32">
        <f t="shared" si="1"/>
        <v>287.77999999999997</v>
      </c>
      <c r="M32" s="6"/>
      <c r="R32" s="7"/>
      <c r="S32" s="7"/>
    </row>
    <row r="33" spans="1:19" ht="28" x14ac:dyDescent="0.15">
      <c r="A33" s="8">
        <v>32</v>
      </c>
      <c r="B33" s="9" t="s">
        <v>679</v>
      </c>
      <c r="C33" s="9" t="s">
        <v>19</v>
      </c>
      <c r="D33" s="10">
        <v>214.92</v>
      </c>
      <c r="E33" s="10">
        <v>223.42</v>
      </c>
      <c r="F33" s="10">
        <v>51.47</v>
      </c>
      <c r="G33" s="9">
        <f t="shared" si="2"/>
        <v>8.072519999999999</v>
      </c>
      <c r="H33" s="11" t="s">
        <v>686</v>
      </c>
      <c r="I33" s="12"/>
      <c r="K33" s="7">
        <f t="shared" si="6"/>
        <v>223.42</v>
      </c>
      <c r="L33">
        <f t="shared" si="1"/>
        <v>223.42</v>
      </c>
      <c r="M33" s="6"/>
      <c r="R33" s="7"/>
      <c r="S33" s="7"/>
    </row>
    <row r="34" spans="1:19" ht="28" x14ac:dyDescent="0.15">
      <c r="A34" s="8">
        <v>33</v>
      </c>
      <c r="B34" s="9" t="s">
        <v>678</v>
      </c>
      <c r="C34" s="9" t="s">
        <v>23</v>
      </c>
      <c r="D34" s="10">
        <v>302.10000000000002</v>
      </c>
      <c r="E34" s="10">
        <v>302.10000000000002</v>
      </c>
      <c r="F34" s="10">
        <v>0.38</v>
      </c>
      <c r="G34" s="9">
        <f t="shared" si="2"/>
        <v>8.3746199999999984</v>
      </c>
      <c r="H34" s="11" t="s">
        <v>686</v>
      </c>
      <c r="I34" s="12"/>
      <c r="L34">
        <f t="shared" si="1"/>
        <v>302.10000000000002</v>
      </c>
      <c r="M34" s="6"/>
      <c r="R34" s="7"/>
      <c r="S34" s="7"/>
    </row>
    <row r="35" spans="1:19" ht="28" x14ac:dyDescent="0.15">
      <c r="A35" s="8">
        <v>34</v>
      </c>
      <c r="B35" s="9" t="s">
        <v>677</v>
      </c>
      <c r="C35" s="9" t="s">
        <v>23</v>
      </c>
      <c r="D35" s="10">
        <v>359.61</v>
      </c>
      <c r="E35" s="10">
        <v>359.61</v>
      </c>
      <c r="F35" s="10">
        <v>0.56999999999999995</v>
      </c>
      <c r="G35" s="9">
        <f t="shared" si="2"/>
        <v>8.7342299999999984</v>
      </c>
      <c r="H35" s="11" t="s">
        <v>686</v>
      </c>
      <c r="I35" s="12"/>
      <c r="L35">
        <f t="shared" si="1"/>
        <v>359.61</v>
      </c>
      <c r="M35" s="6"/>
      <c r="R35" s="7"/>
      <c r="S35" s="7"/>
    </row>
    <row r="36" spans="1:19" ht="28" x14ac:dyDescent="0.15">
      <c r="A36" s="8">
        <v>35</v>
      </c>
      <c r="B36" s="9" t="s">
        <v>676</v>
      </c>
      <c r="C36" s="9" t="s">
        <v>14</v>
      </c>
      <c r="D36" s="10">
        <v>160.38999999999999</v>
      </c>
      <c r="E36" s="10">
        <v>168.89</v>
      </c>
      <c r="F36" s="10">
        <v>57.77</v>
      </c>
      <c r="G36" s="9">
        <f t="shared" si="2"/>
        <v>8.9031199999999977</v>
      </c>
      <c r="H36" s="11" t="s">
        <v>686</v>
      </c>
      <c r="I36" s="12"/>
      <c r="K36" s="7">
        <f t="shared" ref="K36:K37" si="7">D36+8.5</f>
        <v>168.89</v>
      </c>
      <c r="L36">
        <f t="shared" si="1"/>
        <v>168.89</v>
      </c>
      <c r="M36" s="6"/>
      <c r="R36" s="7"/>
      <c r="S36" s="7"/>
    </row>
    <row r="37" spans="1:19" ht="28" x14ac:dyDescent="0.15">
      <c r="A37" s="8">
        <v>36</v>
      </c>
      <c r="B37" s="9" t="s">
        <v>675</v>
      </c>
      <c r="C37" s="9" t="s">
        <v>14</v>
      </c>
      <c r="D37" s="10">
        <v>352.56</v>
      </c>
      <c r="E37" s="10">
        <v>361.06</v>
      </c>
      <c r="F37" s="10">
        <v>4.07</v>
      </c>
      <c r="G37" s="9">
        <f t="shared" si="2"/>
        <v>9.2641799999999979</v>
      </c>
      <c r="H37" s="11" t="s">
        <v>686</v>
      </c>
      <c r="I37" s="12"/>
      <c r="K37" s="7">
        <f t="shared" si="7"/>
        <v>361.06</v>
      </c>
      <c r="L37">
        <f t="shared" si="1"/>
        <v>361.06</v>
      </c>
      <c r="M37" s="6"/>
      <c r="R37" s="7"/>
      <c r="S37" s="7"/>
    </row>
    <row r="38" spans="1:19" ht="28" x14ac:dyDescent="0.15">
      <c r="A38" s="8">
        <v>37</v>
      </c>
      <c r="B38" s="9" t="s">
        <v>674</v>
      </c>
      <c r="C38" s="9" t="s">
        <v>23</v>
      </c>
      <c r="D38" s="10">
        <v>367.79</v>
      </c>
      <c r="E38" s="10">
        <v>367.79</v>
      </c>
      <c r="F38" s="10">
        <v>0.1</v>
      </c>
      <c r="G38" s="9">
        <f t="shared" si="2"/>
        <v>9.6319699999999973</v>
      </c>
      <c r="H38" s="11" t="s">
        <v>686</v>
      </c>
      <c r="I38" s="12"/>
      <c r="L38">
        <f t="shared" si="1"/>
        <v>367.79</v>
      </c>
      <c r="M38" s="6"/>
      <c r="R38" s="7"/>
      <c r="S38" s="7"/>
    </row>
    <row r="39" spans="1:19" ht="28" x14ac:dyDescent="0.15">
      <c r="A39" s="8">
        <v>38</v>
      </c>
      <c r="B39" s="9" t="s">
        <v>673</v>
      </c>
      <c r="C39" s="9" t="s">
        <v>23</v>
      </c>
      <c r="D39" s="10">
        <v>275.69</v>
      </c>
      <c r="E39" s="10">
        <v>275.69</v>
      </c>
      <c r="F39" s="10">
        <v>0.45</v>
      </c>
      <c r="G39" s="9">
        <f t="shared" si="2"/>
        <v>9.9076599999999964</v>
      </c>
      <c r="H39" s="11" t="s">
        <v>686</v>
      </c>
      <c r="I39" s="12"/>
      <c r="L39">
        <f t="shared" si="1"/>
        <v>275.69</v>
      </c>
      <c r="M39" s="6"/>
      <c r="R39" s="7"/>
      <c r="S39" s="7"/>
    </row>
    <row r="40" spans="1:19" ht="28" x14ac:dyDescent="0.15">
      <c r="A40" s="8">
        <v>39</v>
      </c>
      <c r="B40" s="9" t="s">
        <v>672</v>
      </c>
      <c r="C40" s="9" t="s">
        <v>23</v>
      </c>
      <c r="D40" s="10">
        <v>281.37</v>
      </c>
      <c r="E40" s="10">
        <v>281.37</v>
      </c>
      <c r="F40" s="10">
        <v>7.0000000000000007E-2</v>
      </c>
      <c r="G40" s="9">
        <f t="shared" si="2"/>
        <v>10.189029999999997</v>
      </c>
      <c r="H40" s="11" t="s">
        <v>686</v>
      </c>
      <c r="I40" s="12"/>
      <c r="L40">
        <f t="shared" si="1"/>
        <v>281.37</v>
      </c>
      <c r="M40" s="6"/>
      <c r="R40" s="7"/>
      <c r="S40" s="7"/>
    </row>
    <row r="41" spans="1:19" ht="28" x14ac:dyDescent="0.15">
      <c r="A41" s="8">
        <v>40</v>
      </c>
      <c r="B41" s="9" t="s">
        <v>671</v>
      </c>
      <c r="C41" s="9" t="s">
        <v>23</v>
      </c>
      <c r="D41" s="10">
        <v>240.43</v>
      </c>
      <c r="E41" s="10">
        <v>240.43</v>
      </c>
      <c r="F41" s="10">
        <v>0.73</v>
      </c>
      <c r="G41" s="9">
        <f t="shared" si="2"/>
        <v>10.429459999999997</v>
      </c>
      <c r="H41" s="11" t="s">
        <v>686</v>
      </c>
      <c r="I41" s="12"/>
      <c r="L41">
        <f t="shared" si="1"/>
        <v>240.43</v>
      </c>
      <c r="M41" s="6"/>
      <c r="R41" s="7"/>
      <c r="S41" s="7"/>
    </row>
    <row r="42" spans="1:19" ht="28" x14ac:dyDescent="0.15">
      <c r="A42" s="8">
        <v>41</v>
      </c>
      <c r="B42" s="9" t="s">
        <v>670</v>
      </c>
      <c r="C42" s="9" t="s">
        <v>19</v>
      </c>
      <c r="D42" s="10">
        <v>206.41</v>
      </c>
      <c r="E42" s="10">
        <v>214.91</v>
      </c>
      <c r="F42" s="10">
        <v>6.79</v>
      </c>
      <c r="G42" s="9">
        <f t="shared" si="2"/>
        <v>10.644369999999997</v>
      </c>
      <c r="H42" s="11" t="s">
        <v>686</v>
      </c>
      <c r="I42" s="12"/>
      <c r="K42" s="7">
        <f t="shared" ref="K42:K45" si="8">D42+8.5</f>
        <v>214.91</v>
      </c>
      <c r="L42">
        <f t="shared" si="1"/>
        <v>214.91</v>
      </c>
      <c r="M42" s="6"/>
      <c r="R42" s="7"/>
      <c r="S42" s="7"/>
    </row>
    <row r="43" spans="1:19" ht="28" x14ac:dyDescent="0.15">
      <c r="A43" s="8">
        <v>42</v>
      </c>
      <c r="B43" s="9" t="s">
        <v>669</v>
      </c>
      <c r="C43" s="9" t="s">
        <v>14</v>
      </c>
      <c r="D43" s="10">
        <v>152.21</v>
      </c>
      <c r="E43" s="10">
        <v>160.71</v>
      </c>
      <c r="F43" s="10">
        <v>9.65</v>
      </c>
      <c r="G43" s="9">
        <f t="shared" si="2"/>
        <v>10.805079999999997</v>
      </c>
      <c r="H43" s="11" t="s">
        <v>686</v>
      </c>
      <c r="I43" s="12"/>
      <c r="K43" s="7">
        <f t="shared" si="8"/>
        <v>160.71</v>
      </c>
      <c r="L43">
        <f t="shared" si="1"/>
        <v>160.71</v>
      </c>
      <c r="M43" s="6"/>
      <c r="R43" s="7"/>
      <c r="S43" s="7"/>
    </row>
    <row r="44" spans="1:19" ht="28" x14ac:dyDescent="0.15">
      <c r="A44" s="8">
        <v>43</v>
      </c>
      <c r="B44" s="9" t="s">
        <v>668</v>
      </c>
      <c r="C44" s="9" t="s">
        <v>14</v>
      </c>
      <c r="D44" s="10">
        <v>241.6</v>
      </c>
      <c r="E44" s="10">
        <v>250.1</v>
      </c>
      <c r="F44" s="10">
        <v>42.55</v>
      </c>
      <c r="G44" s="9">
        <f t="shared" si="2"/>
        <v>11.055179999999996</v>
      </c>
      <c r="H44" s="11" t="s">
        <v>686</v>
      </c>
      <c r="I44" s="12"/>
      <c r="K44" s="7">
        <f t="shared" si="8"/>
        <v>250.1</v>
      </c>
      <c r="L44">
        <f t="shared" si="1"/>
        <v>250.1</v>
      </c>
      <c r="M44" s="6"/>
      <c r="R44" s="7"/>
      <c r="S44" s="7"/>
    </row>
    <row r="45" spans="1:19" ht="28" x14ac:dyDescent="0.15">
      <c r="A45" s="8">
        <v>44</v>
      </c>
      <c r="B45" s="9" t="s">
        <v>667</v>
      </c>
      <c r="C45" s="9" t="s">
        <v>28</v>
      </c>
      <c r="D45" s="10">
        <v>338.53</v>
      </c>
      <c r="E45" s="10">
        <v>347.03</v>
      </c>
      <c r="F45" s="10">
        <v>14.11</v>
      </c>
      <c r="G45" s="9">
        <f t="shared" si="2"/>
        <v>11.402209999999997</v>
      </c>
      <c r="H45" s="11" t="s">
        <v>686</v>
      </c>
      <c r="I45" s="12"/>
      <c r="K45" s="7">
        <f t="shared" si="8"/>
        <v>347.03</v>
      </c>
      <c r="L45">
        <f t="shared" si="1"/>
        <v>347.03</v>
      </c>
      <c r="M45" s="6"/>
      <c r="R45" s="7"/>
      <c r="S45" s="7"/>
    </row>
    <row r="46" spans="1:19" ht="28" x14ac:dyDescent="0.15">
      <c r="A46" s="8">
        <v>45</v>
      </c>
      <c r="B46" s="9" t="s">
        <v>666</v>
      </c>
      <c r="C46" s="9" t="s">
        <v>23</v>
      </c>
      <c r="D46" s="10">
        <v>344.39</v>
      </c>
      <c r="E46" s="10">
        <v>344.39</v>
      </c>
      <c r="F46" s="10">
        <v>0.38</v>
      </c>
      <c r="G46" s="9">
        <f t="shared" si="2"/>
        <v>11.746599999999997</v>
      </c>
      <c r="H46" s="11" t="s">
        <v>686</v>
      </c>
      <c r="I46" s="12"/>
      <c r="L46">
        <f t="shared" si="1"/>
        <v>344.39</v>
      </c>
      <c r="M46" s="6"/>
      <c r="R46" s="7"/>
      <c r="S46" s="7"/>
    </row>
    <row r="47" spans="1:19" ht="28" x14ac:dyDescent="0.15">
      <c r="A47" s="8">
        <v>46</v>
      </c>
      <c r="B47" s="9" t="s">
        <v>665</v>
      </c>
      <c r="C47" s="9" t="s">
        <v>23</v>
      </c>
      <c r="D47" s="10">
        <v>258.58</v>
      </c>
      <c r="E47" s="10">
        <v>258.58</v>
      </c>
      <c r="F47" s="10">
        <v>0.36</v>
      </c>
      <c r="G47" s="9">
        <f t="shared" si="2"/>
        <v>12.005179999999998</v>
      </c>
      <c r="H47" s="11" t="s">
        <v>686</v>
      </c>
      <c r="I47" s="12"/>
      <c r="L47">
        <f t="shared" si="1"/>
        <v>258.58</v>
      </c>
      <c r="M47" s="6"/>
      <c r="R47" s="7"/>
      <c r="S47" s="7"/>
    </row>
    <row r="48" spans="1:19" ht="28" x14ac:dyDescent="0.15">
      <c r="A48" s="8">
        <v>47</v>
      </c>
      <c r="B48" s="9" t="s">
        <v>664</v>
      </c>
      <c r="C48" s="9" t="s">
        <v>28</v>
      </c>
      <c r="D48" s="10">
        <v>234.51</v>
      </c>
      <c r="E48" s="10">
        <v>243.01</v>
      </c>
      <c r="F48" s="10">
        <v>2.71</v>
      </c>
      <c r="G48" s="9">
        <f t="shared" si="2"/>
        <v>12.248189999999997</v>
      </c>
      <c r="H48" s="11" t="s">
        <v>686</v>
      </c>
      <c r="I48" s="12"/>
      <c r="K48" s="7">
        <f>D48+8.5</f>
        <v>243.01</v>
      </c>
      <c r="L48">
        <f t="shared" si="1"/>
        <v>243.01</v>
      </c>
      <c r="M48" s="6"/>
      <c r="R48" s="7"/>
      <c r="S48" s="7"/>
    </row>
    <row r="49" spans="1:19" ht="28" x14ac:dyDescent="0.15">
      <c r="A49" s="8">
        <v>48</v>
      </c>
      <c r="B49" s="9" t="s">
        <v>663</v>
      </c>
      <c r="C49" s="9" t="s">
        <v>23</v>
      </c>
      <c r="D49" s="10">
        <v>293.87</v>
      </c>
      <c r="E49" s="10">
        <v>293.87</v>
      </c>
      <c r="F49" s="10">
        <v>0.34</v>
      </c>
      <c r="G49" s="9">
        <f t="shared" si="2"/>
        <v>12.542059999999998</v>
      </c>
      <c r="H49" s="11" t="s">
        <v>686</v>
      </c>
      <c r="I49" s="12"/>
      <c r="L49">
        <f t="shared" si="1"/>
        <v>293.87</v>
      </c>
      <c r="M49" s="6"/>
      <c r="R49" s="7"/>
      <c r="S49" s="7"/>
    </row>
    <row r="50" spans="1:19" ht="28" x14ac:dyDescent="0.15">
      <c r="A50" s="8">
        <v>49</v>
      </c>
      <c r="B50" s="9" t="s">
        <v>662</v>
      </c>
      <c r="C50" s="9" t="s">
        <v>23</v>
      </c>
      <c r="D50" s="10">
        <v>250.31</v>
      </c>
      <c r="E50" s="10">
        <v>250.31</v>
      </c>
      <c r="F50" s="10">
        <v>0.06</v>
      </c>
      <c r="G50" s="9">
        <f t="shared" si="2"/>
        <v>12.792369999999998</v>
      </c>
      <c r="H50" s="11" t="s">
        <v>686</v>
      </c>
      <c r="I50" s="12"/>
      <c r="L50">
        <f t="shared" si="1"/>
        <v>250.31</v>
      </c>
      <c r="M50" s="6"/>
      <c r="R50" s="7"/>
      <c r="S50" s="7"/>
    </row>
    <row r="51" spans="1:19" ht="28" x14ac:dyDescent="0.15">
      <c r="A51" s="8">
        <v>50</v>
      </c>
      <c r="B51" s="9" t="s">
        <v>661</v>
      </c>
      <c r="C51" s="9" t="s">
        <v>14</v>
      </c>
      <c r="D51" s="10">
        <v>112.94</v>
      </c>
      <c r="E51" s="10">
        <v>121.44</v>
      </c>
      <c r="F51" s="10">
        <v>59.92</v>
      </c>
      <c r="G51" s="9">
        <f t="shared" si="2"/>
        <v>12.913809999999998</v>
      </c>
      <c r="H51" s="11" t="s">
        <v>686</v>
      </c>
      <c r="I51" s="12"/>
      <c r="K51" s="7">
        <f t="shared" ref="K51:K52" si="9">D51+8.5</f>
        <v>121.44</v>
      </c>
      <c r="L51">
        <f t="shared" si="1"/>
        <v>121.44</v>
      </c>
      <c r="M51" s="6"/>
      <c r="R51" s="7"/>
      <c r="S51" s="7"/>
    </row>
    <row r="52" spans="1:19" ht="28" x14ac:dyDescent="0.15">
      <c r="A52" s="8">
        <v>51</v>
      </c>
      <c r="B52" s="9" t="s">
        <v>660</v>
      </c>
      <c r="C52" s="9" t="s">
        <v>28</v>
      </c>
      <c r="D52" s="10">
        <v>228.69</v>
      </c>
      <c r="E52" s="10">
        <v>237.19</v>
      </c>
      <c r="F52" s="10">
        <v>9.08</v>
      </c>
      <c r="G52" s="9">
        <f t="shared" si="2"/>
        <v>13.150999999999998</v>
      </c>
      <c r="H52" s="11" t="s">
        <v>686</v>
      </c>
      <c r="I52" s="12"/>
      <c r="K52" s="7">
        <f t="shared" si="9"/>
        <v>237.19</v>
      </c>
      <c r="L52">
        <f t="shared" si="1"/>
        <v>237.19</v>
      </c>
      <c r="M52" s="6"/>
      <c r="R52" s="7"/>
      <c r="S52" s="7"/>
    </row>
    <row r="53" spans="1:19" ht="28" x14ac:dyDescent="0.15">
      <c r="A53" s="8">
        <v>52</v>
      </c>
      <c r="B53" s="9" t="s">
        <v>659</v>
      </c>
      <c r="C53" s="9" t="s">
        <v>23</v>
      </c>
      <c r="D53" s="10">
        <v>310.93</v>
      </c>
      <c r="E53" s="10">
        <v>310.93</v>
      </c>
      <c r="F53" s="10">
        <v>0.41</v>
      </c>
      <c r="G53" s="9">
        <f t="shared" si="2"/>
        <v>13.461929999999999</v>
      </c>
      <c r="H53" s="11" t="s">
        <v>686</v>
      </c>
      <c r="I53" s="12"/>
      <c r="L53">
        <f t="shared" si="1"/>
        <v>310.93</v>
      </c>
      <c r="M53" s="6"/>
      <c r="R53" s="7"/>
      <c r="S53" s="7"/>
    </row>
    <row r="54" spans="1:19" ht="28" x14ac:dyDescent="0.15">
      <c r="A54" s="8">
        <v>53</v>
      </c>
      <c r="B54" s="9" t="s">
        <v>658</v>
      </c>
      <c r="C54" s="9" t="s">
        <v>19</v>
      </c>
      <c r="D54" s="10">
        <v>365.14</v>
      </c>
      <c r="E54" s="10">
        <v>373.64</v>
      </c>
      <c r="F54" s="10">
        <v>44.45</v>
      </c>
      <c r="G54" s="9">
        <f t="shared" si="2"/>
        <v>13.835569999999999</v>
      </c>
      <c r="H54" s="11" t="s">
        <v>686</v>
      </c>
      <c r="I54" s="12"/>
      <c r="K54" s="7">
        <f>D54+8.5</f>
        <v>373.64</v>
      </c>
      <c r="L54">
        <f t="shared" si="1"/>
        <v>373.64</v>
      </c>
      <c r="M54" s="6"/>
      <c r="R54" s="7"/>
      <c r="S54" s="7"/>
    </row>
    <row r="55" spans="1:19" ht="28" x14ac:dyDescent="0.15">
      <c r="A55" s="8">
        <v>54</v>
      </c>
      <c r="B55" s="9" t="s">
        <v>657</v>
      </c>
      <c r="C55" s="9" t="s">
        <v>23</v>
      </c>
      <c r="D55" s="10">
        <v>284.64</v>
      </c>
      <c r="E55" s="10">
        <v>284.64</v>
      </c>
      <c r="F55" s="10">
        <v>0.49</v>
      </c>
      <c r="G55" s="9">
        <f t="shared" si="2"/>
        <v>14.120209999999998</v>
      </c>
      <c r="H55" s="11" t="s">
        <v>686</v>
      </c>
      <c r="I55" s="12"/>
      <c r="L55">
        <f t="shared" si="1"/>
        <v>284.64</v>
      </c>
      <c r="M55" s="6"/>
      <c r="R55" s="7"/>
      <c r="S55" s="7"/>
    </row>
    <row r="56" spans="1:19" ht="28" x14ac:dyDescent="0.15">
      <c r="A56" s="8">
        <v>55</v>
      </c>
      <c r="B56" s="9" t="s">
        <v>656</v>
      </c>
      <c r="C56" s="9" t="s">
        <v>23</v>
      </c>
      <c r="D56" s="10">
        <v>310.51</v>
      </c>
      <c r="E56" s="10">
        <v>310.51</v>
      </c>
      <c r="F56" s="10">
        <v>0.54</v>
      </c>
      <c r="G56" s="9">
        <f t="shared" si="2"/>
        <v>14.430719999999999</v>
      </c>
      <c r="H56" s="11" t="s">
        <v>686</v>
      </c>
      <c r="I56" s="12"/>
      <c r="L56">
        <f t="shared" si="1"/>
        <v>310.51</v>
      </c>
      <c r="M56" s="6"/>
      <c r="R56" s="7"/>
      <c r="S56" s="7"/>
    </row>
    <row r="57" spans="1:19" ht="28" x14ac:dyDescent="0.15">
      <c r="A57" s="8">
        <v>56</v>
      </c>
      <c r="B57" s="9" t="s">
        <v>655</v>
      </c>
      <c r="C57" s="9" t="s">
        <v>23</v>
      </c>
      <c r="D57" s="10">
        <v>335.65</v>
      </c>
      <c r="E57" s="10">
        <v>335.65</v>
      </c>
      <c r="F57" s="10">
        <v>0.36</v>
      </c>
      <c r="G57" s="9">
        <f t="shared" si="2"/>
        <v>14.766369999999998</v>
      </c>
      <c r="H57" s="11" t="s">
        <v>686</v>
      </c>
      <c r="I57" s="12"/>
      <c r="L57">
        <f t="shared" si="1"/>
        <v>335.65</v>
      </c>
      <c r="M57" s="6"/>
      <c r="R57" s="7"/>
      <c r="S57" s="7"/>
    </row>
    <row r="58" spans="1:19" ht="28" x14ac:dyDescent="0.15">
      <c r="A58" s="8">
        <v>57</v>
      </c>
      <c r="B58" s="9" t="s">
        <v>654</v>
      </c>
      <c r="C58" s="9" t="s">
        <v>23</v>
      </c>
      <c r="D58" s="10">
        <v>329.2</v>
      </c>
      <c r="E58" s="10">
        <v>329.2</v>
      </c>
      <c r="F58" s="10">
        <v>1.1000000000000001</v>
      </c>
      <c r="G58" s="9">
        <f t="shared" si="2"/>
        <v>15.095569999999999</v>
      </c>
      <c r="H58" s="11" t="s">
        <v>686</v>
      </c>
      <c r="I58" s="12"/>
      <c r="L58">
        <f t="shared" si="1"/>
        <v>329.2</v>
      </c>
      <c r="M58" s="6"/>
      <c r="R58" s="7"/>
      <c r="S58" s="7"/>
    </row>
    <row r="59" spans="1:19" ht="28" x14ac:dyDescent="0.15">
      <c r="A59" s="8">
        <v>58</v>
      </c>
      <c r="B59" s="9" t="s">
        <v>653</v>
      </c>
      <c r="C59" s="9" t="s">
        <v>23</v>
      </c>
      <c r="D59" s="10">
        <v>341.63</v>
      </c>
      <c r="E59" s="10">
        <v>341.63</v>
      </c>
      <c r="F59" s="10">
        <v>0.01</v>
      </c>
      <c r="G59" s="9">
        <f t="shared" si="2"/>
        <v>15.437199999999999</v>
      </c>
      <c r="H59" s="11" t="s">
        <v>686</v>
      </c>
      <c r="I59" s="12"/>
      <c r="L59">
        <f t="shared" si="1"/>
        <v>341.63</v>
      </c>
      <c r="M59" s="6"/>
      <c r="R59" s="7"/>
      <c r="S59" s="7"/>
    </row>
    <row r="60" spans="1:19" ht="28" x14ac:dyDescent="0.15">
      <c r="A60" s="8">
        <v>59</v>
      </c>
      <c r="B60" s="9" t="s">
        <v>652</v>
      </c>
      <c r="C60" s="9" t="s">
        <v>23</v>
      </c>
      <c r="D60" s="10">
        <v>311.60000000000002</v>
      </c>
      <c r="E60" s="10">
        <v>311.60000000000002</v>
      </c>
      <c r="F60" s="10">
        <v>0.36</v>
      </c>
      <c r="G60" s="9">
        <f t="shared" si="2"/>
        <v>15.748799999999999</v>
      </c>
      <c r="H60" s="11" t="s">
        <v>686</v>
      </c>
      <c r="I60" s="12"/>
      <c r="L60">
        <f t="shared" si="1"/>
        <v>311.60000000000002</v>
      </c>
      <c r="M60" s="6"/>
      <c r="R60" s="7"/>
      <c r="S60" s="7"/>
    </row>
    <row r="61" spans="1:19" ht="28" x14ac:dyDescent="0.15">
      <c r="A61" s="8">
        <v>60</v>
      </c>
      <c r="B61" s="9" t="s">
        <v>651</v>
      </c>
      <c r="C61" s="9" t="s">
        <v>23</v>
      </c>
      <c r="D61" s="10">
        <v>344.79</v>
      </c>
      <c r="E61" s="10">
        <v>344.79</v>
      </c>
      <c r="F61" s="10">
        <v>0.45</v>
      </c>
      <c r="G61" s="9">
        <f t="shared" si="2"/>
        <v>16.093589999999999</v>
      </c>
      <c r="H61" s="11" t="s">
        <v>686</v>
      </c>
      <c r="I61" s="12"/>
      <c r="L61">
        <f t="shared" si="1"/>
        <v>344.79</v>
      </c>
      <c r="M61" s="6"/>
      <c r="R61" s="7"/>
      <c r="S61" s="7"/>
    </row>
    <row r="62" spans="1:19" ht="28" x14ac:dyDescent="0.15">
      <c r="A62" s="8">
        <v>61</v>
      </c>
      <c r="B62" s="9" t="s">
        <v>650</v>
      </c>
      <c r="C62" s="9" t="s">
        <v>19</v>
      </c>
      <c r="D62" s="10">
        <v>292</v>
      </c>
      <c r="E62" s="10">
        <v>300.5</v>
      </c>
      <c r="F62" s="10">
        <v>39.299999999999997</v>
      </c>
      <c r="G62" s="9">
        <f t="shared" si="2"/>
        <v>16.394089999999998</v>
      </c>
      <c r="H62" s="11" t="s">
        <v>686</v>
      </c>
      <c r="I62" s="12"/>
      <c r="K62" s="7">
        <f>D62+8.5</f>
        <v>300.5</v>
      </c>
      <c r="L62">
        <f t="shared" si="1"/>
        <v>300.5</v>
      </c>
      <c r="M62" s="6"/>
      <c r="R62" s="7"/>
      <c r="S62" s="7"/>
    </row>
    <row r="63" spans="1:19" ht="28" x14ac:dyDescent="0.15">
      <c r="A63" s="8">
        <v>62</v>
      </c>
      <c r="B63" s="9" t="s">
        <v>649</v>
      </c>
      <c r="C63" s="9" t="s">
        <v>23</v>
      </c>
      <c r="D63" s="10">
        <v>335.88</v>
      </c>
      <c r="E63" s="10">
        <v>335.88</v>
      </c>
      <c r="F63" s="10">
        <v>0.32</v>
      </c>
      <c r="G63" s="9">
        <f t="shared" si="2"/>
        <v>16.729969999999998</v>
      </c>
      <c r="H63" s="11" t="s">
        <v>686</v>
      </c>
      <c r="I63" s="12"/>
      <c r="L63">
        <f t="shared" si="1"/>
        <v>335.88</v>
      </c>
      <c r="M63" s="6"/>
      <c r="R63" s="7"/>
      <c r="S63" s="7"/>
    </row>
    <row r="64" spans="1:19" ht="28" x14ac:dyDescent="0.15">
      <c r="A64" s="8">
        <v>63</v>
      </c>
      <c r="B64" s="9" t="s">
        <v>648</v>
      </c>
      <c r="C64" s="9" t="s">
        <v>23</v>
      </c>
      <c r="D64" s="10">
        <v>290.08999999999997</v>
      </c>
      <c r="E64" s="10">
        <v>290.08999999999997</v>
      </c>
      <c r="F64" s="10">
        <v>1.03</v>
      </c>
      <c r="G64" s="9">
        <f t="shared" si="2"/>
        <v>17.020059999999997</v>
      </c>
      <c r="H64" s="11" t="s">
        <v>686</v>
      </c>
      <c r="I64" s="12"/>
      <c r="L64">
        <f t="shared" si="1"/>
        <v>290.08999999999997</v>
      </c>
      <c r="M64" s="6"/>
      <c r="R64" s="7"/>
      <c r="S64" s="7"/>
    </row>
    <row r="65" spans="1:19" ht="28" x14ac:dyDescent="0.15">
      <c r="A65" s="8">
        <v>64</v>
      </c>
      <c r="B65" s="9" t="s">
        <v>647</v>
      </c>
      <c r="C65" s="9" t="s">
        <v>23</v>
      </c>
      <c r="D65" s="10">
        <v>305.98</v>
      </c>
      <c r="E65" s="10">
        <v>305.98</v>
      </c>
      <c r="F65" s="10">
        <v>0.51</v>
      </c>
      <c r="G65" s="9">
        <f t="shared" si="2"/>
        <v>17.326039999999999</v>
      </c>
      <c r="H65" s="11" t="s">
        <v>686</v>
      </c>
      <c r="I65" s="12"/>
      <c r="L65">
        <f t="shared" si="1"/>
        <v>305.98</v>
      </c>
      <c r="M65" s="6"/>
      <c r="R65" s="7"/>
      <c r="S65" s="7"/>
    </row>
    <row r="66" spans="1:19" ht="28" x14ac:dyDescent="0.15">
      <c r="A66" s="8">
        <v>65</v>
      </c>
      <c r="B66" s="9" t="s">
        <v>646</v>
      </c>
      <c r="C66" s="9" t="s">
        <v>19</v>
      </c>
      <c r="D66" s="10">
        <v>317.31</v>
      </c>
      <c r="E66" s="10">
        <v>325.81</v>
      </c>
      <c r="F66" s="10">
        <v>11.88</v>
      </c>
      <c r="G66" s="9">
        <f t="shared" si="2"/>
        <v>17.65185</v>
      </c>
      <c r="H66" s="11" t="s">
        <v>686</v>
      </c>
      <c r="I66" s="12"/>
      <c r="K66" s="7">
        <f>D66+8.5</f>
        <v>325.81</v>
      </c>
      <c r="L66">
        <f t="shared" si="1"/>
        <v>325.81</v>
      </c>
      <c r="M66" s="6"/>
      <c r="R66" s="7"/>
      <c r="S66" s="7"/>
    </row>
    <row r="67" spans="1:19" ht="28" x14ac:dyDescent="0.15">
      <c r="A67" s="8">
        <v>66</v>
      </c>
      <c r="B67" s="9" t="s">
        <v>645</v>
      </c>
      <c r="C67" s="9" t="s">
        <v>23</v>
      </c>
      <c r="D67" s="10">
        <v>315.41000000000003</v>
      </c>
      <c r="E67" s="10">
        <v>315.41000000000003</v>
      </c>
      <c r="F67" s="10">
        <v>0.35</v>
      </c>
      <c r="G67" s="9">
        <f t="shared" si="2"/>
        <v>17.96726</v>
      </c>
      <c r="H67" s="11" t="s">
        <v>686</v>
      </c>
      <c r="I67" s="12"/>
      <c r="L67">
        <f t="shared" ref="L67:L130" si="10">IF(K67&lt;&gt;"",K67,D67)</f>
        <v>315.41000000000003</v>
      </c>
      <c r="M67" s="6"/>
      <c r="R67" s="7"/>
      <c r="S67" s="7"/>
    </row>
    <row r="68" spans="1:19" ht="28" x14ac:dyDescent="0.15">
      <c r="A68" s="8">
        <v>67</v>
      </c>
      <c r="B68" s="9" t="s">
        <v>644</v>
      </c>
      <c r="C68" s="9" t="s">
        <v>23</v>
      </c>
      <c r="D68" s="10">
        <v>309.33</v>
      </c>
      <c r="E68" s="10">
        <v>309.33</v>
      </c>
      <c r="F68" s="10">
        <v>0.09</v>
      </c>
      <c r="G68" s="9">
        <f t="shared" ref="G68:G131" si="11">E68/1000+G67</f>
        <v>18.276589999999999</v>
      </c>
      <c r="H68" s="11" t="s">
        <v>686</v>
      </c>
      <c r="I68" s="12"/>
      <c r="L68">
        <f t="shared" si="10"/>
        <v>309.33</v>
      </c>
      <c r="M68" s="6"/>
      <c r="R68" s="7"/>
      <c r="S68" s="7"/>
    </row>
    <row r="69" spans="1:19" ht="28" x14ac:dyDescent="0.15">
      <c r="A69" s="8">
        <v>68</v>
      </c>
      <c r="B69" s="9" t="s">
        <v>643</v>
      </c>
      <c r="C69" s="9" t="s">
        <v>28</v>
      </c>
      <c r="D69" s="10">
        <v>291.67</v>
      </c>
      <c r="E69" s="10">
        <v>300.17</v>
      </c>
      <c r="F69" s="10">
        <v>15.64</v>
      </c>
      <c r="G69" s="9">
        <f t="shared" si="11"/>
        <v>18.57676</v>
      </c>
      <c r="H69" s="11" t="s">
        <v>686</v>
      </c>
      <c r="I69" s="12"/>
      <c r="K69" s="7">
        <f>D69+8.5</f>
        <v>300.17</v>
      </c>
      <c r="L69">
        <f t="shared" si="10"/>
        <v>300.17</v>
      </c>
      <c r="M69" s="6"/>
      <c r="R69" s="7"/>
      <c r="S69" s="7"/>
    </row>
    <row r="70" spans="1:19" ht="28" x14ac:dyDescent="0.15">
      <c r="A70" s="8">
        <v>69</v>
      </c>
      <c r="B70" s="9" t="s">
        <v>642</v>
      </c>
      <c r="C70" s="9" t="s">
        <v>23</v>
      </c>
      <c r="D70" s="10">
        <v>285.70999999999998</v>
      </c>
      <c r="E70" s="10">
        <v>285.70999999999998</v>
      </c>
      <c r="F70" s="10">
        <v>0.28000000000000003</v>
      </c>
      <c r="G70" s="9">
        <f t="shared" si="11"/>
        <v>18.862470000000002</v>
      </c>
      <c r="H70" s="11" t="s">
        <v>686</v>
      </c>
      <c r="I70" s="12"/>
      <c r="L70">
        <f t="shared" si="10"/>
        <v>285.70999999999998</v>
      </c>
      <c r="M70" s="6"/>
      <c r="R70" s="7"/>
      <c r="S70" s="7"/>
    </row>
    <row r="71" spans="1:19" ht="28" x14ac:dyDescent="0.15">
      <c r="A71" s="8">
        <v>70</v>
      </c>
      <c r="B71" s="9" t="s">
        <v>641</v>
      </c>
      <c r="C71" s="9" t="s">
        <v>19</v>
      </c>
      <c r="D71" s="10">
        <v>245.05</v>
      </c>
      <c r="E71" s="10">
        <v>253.55</v>
      </c>
      <c r="F71" s="10">
        <v>58.27</v>
      </c>
      <c r="G71" s="9">
        <f t="shared" si="11"/>
        <v>19.116020000000002</v>
      </c>
      <c r="H71" s="11" t="s">
        <v>686</v>
      </c>
      <c r="I71" s="12"/>
      <c r="K71" s="7">
        <f>D71+8.5</f>
        <v>253.55</v>
      </c>
      <c r="L71">
        <f t="shared" si="10"/>
        <v>253.55</v>
      </c>
      <c r="M71" s="6"/>
      <c r="R71" s="7"/>
      <c r="S71" s="7"/>
    </row>
    <row r="72" spans="1:19" ht="28" x14ac:dyDescent="0.15">
      <c r="A72" s="8">
        <v>71</v>
      </c>
      <c r="B72" s="9" t="s">
        <v>640</v>
      </c>
      <c r="C72" s="9" t="s">
        <v>23</v>
      </c>
      <c r="D72" s="10">
        <v>339.39</v>
      </c>
      <c r="E72" s="10">
        <v>339.39</v>
      </c>
      <c r="F72" s="10">
        <v>0.17</v>
      </c>
      <c r="G72" s="9">
        <f t="shared" si="11"/>
        <v>19.455410000000004</v>
      </c>
      <c r="H72" s="11" t="s">
        <v>686</v>
      </c>
      <c r="I72" s="12"/>
      <c r="L72">
        <f t="shared" si="10"/>
        <v>339.39</v>
      </c>
      <c r="M72" s="6"/>
      <c r="R72" s="7"/>
      <c r="S72" s="7"/>
    </row>
    <row r="73" spans="1:19" ht="28" x14ac:dyDescent="0.15">
      <c r="A73" s="8">
        <v>72</v>
      </c>
      <c r="B73" s="9" t="s">
        <v>639</v>
      </c>
      <c r="C73" s="9" t="s">
        <v>23</v>
      </c>
      <c r="D73" s="10">
        <v>334.33</v>
      </c>
      <c r="E73" s="10">
        <v>334.33</v>
      </c>
      <c r="F73" s="10">
        <v>0.85</v>
      </c>
      <c r="G73" s="9">
        <f t="shared" si="11"/>
        <v>19.789740000000005</v>
      </c>
      <c r="H73" s="11" t="s">
        <v>686</v>
      </c>
      <c r="I73" s="12"/>
      <c r="L73">
        <f t="shared" si="10"/>
        <v>334.33</v>
      </c>
      <c r="M73" s="6"/>
      <c r="R73" s="7"/>
      <c r="S73" s="7"/>
    </row>
    <row r="74" spans="1:19" ht="28" x14ac:dyDescent="0.15">
      <c r="A74" s="8">
        <v>73</v>
      </c>
      <c r="B74" s="9" t="s">
        <v>638</v>
      </c>
      <c r="C74" s="9" t="s">
        <v>23</v>
      </c>
      <c r="D74" s="10">
        <v>309.22000000000003</v>
      </c>
      <c r="E74" s="10">
        <v>309.22000000000003</v>
      </c>
      <c r="F74" s="10">
        <v>0.36</v>
      </c>
      <c r="G74" s="9">
        <f t="shared" si="11"/>
        <v>20.098960000000005</v>
      </c>
      <c r="H74" s="11" t="s">
        <v>686</v>
      </c>
      <c r="I74" s="12"/>
      <c r="L74">
        <f t="shared" si="10"/>
        <v>309.22000000000003</v>
      </c>
      <c r="M74" s="6"/>
      <c r="R74" s="7"/>
      <c r="S74" s="7"/>
    </row>
    <row r="75" spans="1:19" ht="28" x14ac:dyDescent="0.15">
      <c r="A75" s="8">
        <v>74</v>
      </c>
      <c r="B75" s="9" t="s">
        <v>637</v>
      </c>
      <c r="C75" s="9" t="s">
        <v>23</v>
      </c>
      <c r="D75" s="10">
        <v>297.45</v>
      </c>
      <c r="E75" s="10">
        <v>297.45</v>
      </c>
      <c r="F75" s="10">
        <v>0.67</v>
      </c>
      <c r="G75" s="9">
        <f t="shared" si="11"/>
        <v>20.396410000000007</v>
      </c>
      <c r="H75" s="11" t="s">
        <v>686</v>
      </c>
      <c r="I75" s="12"/>
      <c r="L75">
        <f t="shared" si="10"/>
        <v>297.45</v>
      </c>
      <c r="M75" s="6"/>
      <c r="R75" s="7"/>
      <c r="S75" s="7"/>
    </row>
    <row r="76" spans="1:19" ht="28" x14ac:dyDescent="0.15">
      <c r="A76" s="8">
        <v>75</v>
      </c>
      <c r="B76" s="9" t="s">
        <v>636</v>
      </c>
      <c r="C76" s="9" t="s">
        <v>23</v>
      </c>
      <c r="D76" s="10">
        <v>266.26</v>
      </c>
      <c r="E76" s="10">
        <v>266.26</v>
      </c>
      <c r="F76" s="10">
        <v>0.98</v>
      </c>
      <c r="G76" s="9">
        <f t="shared" si="11"/>
        <v>20.662670000000006</v>
      </c>
      <c r="H76" s="11" t="s">
        <v>686</v>
      </c>
      <c r="I76" s="12"/>
      <c r="L76">
        <f t="shared" si="10"/>
        <v>266.26</v>
      </c>
      <c r="M76" s="6"/>
      <c r="R76" s="7"/>
      <c r="S76" s="7"/>
    </row>
    <row r="77" spans="1:19" ht="28" x14ac:dyDescent="0.15">
      <c r="A77" s="8">
        <v>76</v>
      </c>
      <c r="B77" s="9" t="s">
        <v>635</v>
      </c>
      <c r="C77" s="9" t="s">
        <v>23</v>
      </c>
      <c r="D77" s="10">
        <v>296.07</v>
      </c>
      <c r="E77" s="10">
        <v>296.07</v>
      </c>
      <c r="F77" s="10">
        <v>1</v>
      </c>
      <c r="G77" s="9">
        <f t="shared" si="11"/>
        <v>20.958740000000006</v>
      </c>
      <c r="H77" s="11" t="s">
        <v>686</v>
      </c>
      <c r="I77" s="12"/>
      <c r="L77">
        <f t="shared" si="10"/>
        <v>296.07</v>
      </c>
      <c r="M77" s="6"/>
      <c r="R77" s="7"/>
      <c r="S77" s="7"/>
    </row>
    <row r="78" spans="1:19" ht="28" x14ac:dyDescent="0.15">
      <c r="A78" s="8">
        <v>77</v>
      </c>
      <c r="B78" s="9" t="s">
        <v>634</v>
      </c>
      <c r="C78" s="9" t="s">
        <v>23</v>
      </c>
      <c r="D78" s="10">
        <v>342.11</v>
      </c>
      <c r="E78" s="10">
        <v>342.11</v>
      </c>
      <c r="F78" s="10">
        <v>0.67</v>
      </c>
      <c r="G78" s="9">
        <f t="shared" si="11"/>
        <v>21.300850000000008</v>
      </c>
      <c r="H78" s="11" t="s">
        <v>686</v>
      </c>
      <c r="I78" s="12"/>
      <c r="L78">
        <f t="shared" si="10"/>
        <v>342.11</v>
      </c>
      <c r="M78" s="6"/>
      <c r="R78" s="7"/>
      <c r="S78" s="7"/>
    </row>
    <row r="79" spans="1:19" ht="28" x14ac:dyDescent="0.15">
      <c r="A79" s="8">
        <v>78</v>
      </c>
      <c r="B79" s="9" t="s">
        <v>633</v>
      </c>
      <c r="C79" s="9" t="s">
        <v>19</v>
      </c>
      <c r="D79" s="10">
        <v>335.65</v>
      </c>
      <c r="E79" s="10">
        <v>344.15</v>
      </c>
      <c r="F79" s="10">
        <v>1.21</v>
      </c>
      <c r="G79" s="9">
        <f t="shared" si="11"/>
        <v>21.645000000000007</v>
      </c>
      <c r="H79" s="11" t="s">
        <v>686</v>
      </c>
      <c r="I79" s="12"/>
      <c r="K79" s="7">
        <f>D79+8.5</f>
        <v>344.15</v>
      </c>
      <c r="L79">
        <f t="shared" si="10"/>
        <v>344.15</v>
      </c>
      <c r="M79" s="6"/>
      <c r="R79" s="7"/>
      <c r="S79" s="7"/>
    </row>
    <row r="80" spans="1:19" ht="28" x14ac:dyDescent="0.15">
      <c r="A80" s="8">
        <v>79</v>
      </c>
      <c r="B80" s="9" t="s">
        <v>632</v>
      </c>
      <c r="C80" s="9" t="s">
        <v>23</v>
      </c>
      <c r="D80" s="10">
        <v>319.42</v>
      </c>
      <c r="E80" s="10">
        <v>319.42</v>
      </c>
      <c r="F80" s="10">
        <v>0.16</v>
      </c>
      <c r="G80" s="9">
        <f t="shared" si="11"/>
        <v>21.964420000000008</v>
      </c>
      <c r="H80" s="11" t="s">
        <v>686</v>
      </c>
      <c r="I80" s="12"/>
      <c r="L80">
        <f t="shared" si="10"/>
        <v>319.42</v>
      </c>
      <c r="M80" s="6"/>
      <c r="R80" s="7"/>
      <c r="S80" s="7"/>
    </row>
    <row r="81" spans="1:19" ht="28" x14ac:dyDescent="0.15">
      <c r="A81" s="8">
        <v>80</v>
      </c>
      <c r="B81" s="9" t="s">
        <v>631</v>
      </c>
      <c r="C81" s="9" t="s">
        <v>19</v>
      </c>
      <c r="D81" s="10">
        <v>354.42</v>
      </c>
      <c r="E81" s="10">
        <v>362.92</v>
      </c>
      <c r="F81" s="10">
        <v>4.3600000000000003</v>
      </c>
      <c r="G81" s="9">
        <f t="shared" si="11"/>
        <v>22.327340000000007</v>
      </c>
      <c r="H81" s="11" t="s">
        <v>686</v>
      </c>
      <c r="I81" s="12"/>
      <c r="K81" s="7">
        <f>D81+8.5</f>
        <v>362.92</v>
      </c>
      <c r="L81">
        <f t="shared" si="10"/>
        <v>362.92</v>
      </c>
      <c r="M81" s="6"/>
      <c r="R81" s="7"/>
      <c r="S81" s="7"/>
    </row>
    <row r="82" spans="1:19" ht="28" x14ac:dyDescent="0.15">
      <c r="A82" s="8">
        <v>81</v>
      </c>
      <c r="B82" s="9" t="s">
        <v>630</v>
      </c>
      <c r="C82" s="9" t="s">
        <v>23</v>
      </c>
      <c r="D82" s="10">
        <v>313.68</v>
      </c>
      <c r="E82" s="10">
        <v>313.68</v>
      </c>
      <c r="F82" s="10">
        <v>1.52</v>
      </c>
      <c r="G82" s="9">
        <f t="shared" si="11"/>
        <v>22.641020000000008</v>
      </c>
      <c r="H82" s="11" t="s">
        <v>686</v>
      </c>
      <c r="I82" s="12"/>
      <c r="L82">
        <f t="shared" si="10"/>
        <v>313.68</v>
      </c>
      <c r="M82" s="6"/>
      <c r="R82" s="7"/>
      <c r="S82" s="7"/>
    </row>
    <row r="83" spans="1:19" ht="28" x14ac:dyDescent="0.15">
      <c r="A83" s="8">
        <v>82</v>
      </c>
      <c r="B83" s="9" t="s">
        <v>629</v>
      </c>
      <c r="C83" s="9" t="s">
        <v>23</v>
      </c>
      <c r="D83" s="10">
        <v>266.11</v>
      </c>
      <c r="E83" s="10">
        <v>266.11</v>
      </c>
      <c r="F83" s="10">
        <v>1.05</v>
      </c>
      <c r="G83" s="9">
        <f t="shared" si="11"/>
        <v>22.907130000000009</v>
      </c>
      <c r="H83" s="11" t="s">
        <v>686</v>
      </c>
      <c r="I83" s="12"/>
      <c r="L83">
        <f t="shared" si="10"/>
        <v>266.11</v>
      </c>
      <c r="M83" s="6"/>
      <c r="R83" s="7"/>
      <c r="S83" s="7"/>
    </row>
    <row r="84" spans="1:19" ht="28" x14ac:dyDescent="0.15">
      <c r="A84" s="8">
        <v>83</v>
      </c>
      <c r="B84" s="9" t="s">
        <v>628</v>
      </c>
      <c r="C84" s="9" t="s">
        <v>23</v>
      </c>
      <c r="D84" s="10">
        <v>248.24</v>
      </c>
      <c r="E84" s="10">
        <v>248.24</v>
      </c>
      <c r="F84" s="10">
        <v>0.12</v>
      </c>
      <c r="G84" s="9">
        <f t="shared" si="11"/>
        <v>23.155370000000008</v>
      </c>
      <c r="H84" s="11" t="s">
        <v>686</v>
      </c>
      <c r="I84" s="12"/>
      <c r="L84">
        <f t="shared" si="10"/>
        <v>248.24</v>
      </c>
      <c r="M84" s="6"/>
      <c r="R84" s="7"/>
      <c r="S84" s="7"/>
    </row>
    <row r="85" spans="1:19" ht="28" x14ac:dyDescent="0.15">
      <c r="A85" s="8">
        <v>84</v>
      </c>
      <c r="B85" s="9" t="s">
        <v>627</v>
      </c>
      <c r="C85" s="9" t="s">
        <v>23</v>
      </c>
      <c r="D85" s="10">
        <v>314.13</v>
      </c>
      <c r="E85" s="10">
        <v>314.13</v>
      </c>
      <c r="F85" s="10">
        <v>0.82</v>
      </c>
      <c r="G85" s="9">
        <f t="shared" si="11"/>
        <v>23.469500000000007</v>
      </c>
      <c r="H85" s="11" t="s">
        <v>686</v>
      </c>
      <c r="I85" s="12"/>
      <c r="L85">
        <f t="shared" si="10"/>
        <v>314.13</v>
      </c>
      <c r="M85" s="6"/>
      <c r="R85" s="7"/>
      <c r="S85" s="7"/>
    </row>
    <row r="86" spans="1:19" ht="28" x14ac:dyDescent="0.15">
      <c r="A86" s="8">
        <v>85</v>
      </c>
      <c r="B86" s="9" t="s">
        <v>626</v>
      </c>
      <c r="C86" s="9" t="s">
        <v>14</v>
      </c>
      <c r="D86" s="10">
        <v>278.88</v>
      </c>
      <c r="E86" s="10">
        <v>287.38</v>
      </c>
      <c r="F86" s="10">
        <v>6.91</v>
      </c>
      <c r="G86" s="9">
        <f t="shared" si="11"/>
        <v>23.756880000000006</v>
      </c>
      <c r="H86" s="11" t="s">
        <v>686</v>
      </c>
      <c r="I86" s="12"/>
      <c r="K86" s="7">
        <f>D86+8.5</f>
        <v>287.38</v>
      </c>
      <c r="L86">
        <f t="shared" si="10"/>
        <v>287.38</v>
      </c>
      <c r="M86" s="6"/>
      <c r="R86" s="7"/>
      <c r="S86" s="7"/>
    </row>
    <row r="87" spans="1:19" ht="28" x14ac:dyDescent="0.15">
      <c r="A87" s="8">
        <v>86</v>
      </c>
      <c r="B87" s="9" t="s">
        <v>625</v>
      </c>
      <c r="C87" s="9" t="s">
        <v>23</v>
      </c>
      <c r="D87" s="10">
        <v>353.8</v>
      </c>
      <c r="E87" s="10">
        <v>353.8</v>
      </c>
      <c r="F87" s="10">
        <v>0.6</v>
      </c>
      <c r="G87" s="9">
        <f t="shared" si="11"/>
        <v>24.110680000000006</v>
      </c>
      <c r="H87" s="11" t="s">
        <v>686</v>
      </c>
      <c r="I87" s="12"/>
      <c r="L87">
        <f t="shared" si="10"/>
        <v>353.8</v>
      </c>
      <c r="M87" s="6"/>
      <c r="R87" s="7"/>
      <c r="S87" s="7"/>
    </row>
    <row r="88" spans="1:19" ht="28" x14ac:dyDescent="0.15">
      <c r="A88" s="8">
        <v>87</v>
      </c>
      <c r="B88" s="9" t="s">
        <v>624</v>
      </c>
      <c r="C88" s="9" t="s">
        <v>23</v>
      </c>
      <c r="D88" s="10">
        <v>210.29</v>
      </c>
      <c r="E88" s="10">
        <v>210.29</v>
      </c>
      <c r="F88" s="10">
        <v>0.32</v>
      </c>
      <c r="G88" s="9">
        <f t="shared" si="11"/>
        <v>24.320970000000006</v>
      </c>
      <c r="H88" s="11" t="s">
        <v>686</v>
      </c>
      <c r="I88" s="12"/>
      <c r="L88">
        <f t="shared" si="10"/>
        <v>210.29</v>
      </c>
      <c r="M88" s="6"/>
      <c r="R88" s="7"/>
      <c r="S88" s="7"/>
    </row>
    <row r="89" spans="1:19" ht="28" x14ac:dyDescent="0.15">
      <c r="A89" s="8">
        <v>88</v>
      </c>
      <c r="B89" s="9" t="s">
        <v>623</v>
      </c>
      <c r="C89" s="9" t="s">
        <v>19</v>
      </c>
      <c r="D89" s="10">
        <v>306.70999999999998</v>
      </c>
      <c r="E89" s="10">
        <v>315.20999999999998</v>
      </c>
      <c r="F89" s="10">
        <v>1.73</v>
      </c>
      <c r="G89" s="9">
        <f t="shared" si="11"/>
        <v>24.636180000000007</v>
      </c>
      <c r="H89" s="11" t="s">
        <v>686</v>
      </c>
      <c r="I89" s="12"/>
      <c r="K89" s="7">
        <f>D89+8.5</f>
        <v>315.20999999999998</v>
      </c>
      <c r="L89">
        <f t="shared" si="10"/>
        <v>315.20999999999998</v>
      </c>
      <c r="M89" s="6"/>
      <c r="R89" s="7"/>
      <c r="S89" s="7"/>
    </row>
    <row r="90" spans="1:19" ht="28" x14ac:dyDescent="0.15">
      <c r="A90" s="8">
        <v>89</v>
      </c>
      <c r="B90" s="9" t="s">
        <v>622</v>
      </c>
      <c r="C90" s="9" t="s">
        <v>23</v>
      </c>
      <c r="D90" s="10">
        <v>297.95999999999998</v>
      </c>
      <c r="E90" s="10">
        <v>297.95999999999998</v>
      </c>
      <c r="F90" s="10">
        <v>1.45</v>
      </c>
      <c r="G90" s="9">
        <f t="shared" si="11"/>
        <v>24.934140000000006</v>
      </c>
      <c r="H90" s="11" t="s">
        <v>686</v>
      </c>
      <c r="I90" s="12"/>
      <c r="L90">
        <f t="shared" si="10"/>
        <v>297.95999999999998</v>
      </c>
      <c r="M90" s="6"/>
      <c r="R90" s="7"/>
      <c r="S90" s="7"/>
    </row>
    <row r="91" spans="1:19" ht="28" x14ac:dyDescent="0.15">
      <c r="A91" s="8">
        <v>90</v>
      </c>
      <c r="B91" s="9" t="s">
        <v>621</v>
      </c>
      <c r="C91" s="9" t="s">
        <v>23</v>
      </c>
      <c r="D91" s="10">
        <v>298.12</v>
      </c>
      <c r="E91" s="10">
        <v>298.12</v>
      </c>
      <c r="F91" s="10">
        <v>0.39</v>
      </c>
      <c r="G91" s="9">
        <f t="shared" si="11"/>
        <v>25.232260000000007</v>
      </c>
      <c r="H91" s="11" t="s">
        <v>686</v>
      </c>
      <c r="I91" s="12"/>
      <c r="L91">
        <f t="shared" si="10"/>
        <v>298.12</v>
      </c>
      <c r="M91" s="6"/>
      <c r="R91" s="7"/>
      <c r="S91" s="7"/>
    </row>
    <row r="92" spans="1:19" ht="28" x14ac:dyDescent="0.15">
      <c r="A92" s="8">
        <v>91</v>
      </c>
      <c r="B92" s="9" t="s">
        <v>620</v>
      </c>
      <c r="C92" s="9" t="s">
        <v>23</v>
      </c>
      <c r="D92" s="10">
        <v>335.56</v>
      </c>
      <c r="E92" s="10">
        <v>335.56</v>
      </c>
      <c r="F92" s="10">
        <v>0.01</v>
      </c>
      <c r="G92" s="9">
        <f t="shared" si="11"/>
        <v>25.567820000000008</v>
      </c>
      <c r="H92" s="11" t="s">
        <v>686</v>
      </c>
      <c r="I92" s="12"/>
      <c r="L92">
        <f t="shared" si="10"/>
        <v>335.56</v>
      </c>
      <c r="M92" s="6"/>
      <c r="R92" s="7"/>
      <c r="S92" s="7"/>
    </row>
    <row r="93" spans="1:19" ht="28" x14ac:dyDescent="0.15">
      <c r="A93" s="8">
        <v>92</v>
      </c>
      <c r="B93" s="9" t="s">
        <v>619</v>
      </c>
      <c r="C93" s="9" t="s">
        <v>23</v>
      </c>
      <c r="D93" s="10">
        <v>274.89</v>
      </c>
      <c r="E93" s="10">
        <v>274.89</v>
      </c>
      <c r="F93" s="10">
        <v>0.47</v>
      </c>
      <c r="G93" s="9">
        <f t="shared" si="11"/>
        <v>25.842710000000007</v>
      </c>
      <c r="H93" s="11" t="s">
        <v>686</v>
      </c>
      <c r="I93" s="12"/>
      <c r="L93">
        <f t="shared" si="10"/>
        <v>274.89</v>
      </c>
      <c r="M93" s="6"/>
      <c r="R93" s="7"/>
      <c r="S93" s="7"/>
    </row>
    <row r="94" spans="1:19" ht="28" x14ac:dyDescent="0.15">
      <c r="A94" s="8">
        <v>93</v>
      </c>
      <c r="B94" s="9" t="s">
        <v>618</v>
      </c>
      <c r="C94" s="9" t="s">
        <v>14</v>
      </c>
      <c r="D94" s="10">
        <v>354.97</v>
      </c>
      <c r="E94" s="10">
        <v>363.47</v>
      </c>
      <c r="F94" s="10">
        <v>7.0000000000000007E-2</v>
      </c>
      <c r="G94" s="9">
        <f t="shared" si="11"/>
        <v>26.206180000000007</v>
      </c>
      <c r="H94" s="11" t="s">
        <v>686</v>
      </c>
      <c r="I94" s="12"/>
      <c r="K94" s="7">
        <f>D94+8.5</f>
        <v>363.47</v>
      </c>
      <c r="L94">
        <f t="shared" si="10"/>
        <v>363.47</v>
      </c>
      <c r="M94" s="6"/>
      <c r="R94" s="7"/>
      <c r="S94" s="7"/>
    </row>
    <row r="95" spans="1:19" ht="28" x14ac:dyDescent="0.15">
      <c r="A95" s="8">
        <v>94</v>
      </c>
      <c r="B95" s="9" t="s">
        <v>617</v>
      </c>
      <c r="C95" s="9" t="s">
        <v>23</v>
      </c>
      <c r="D95" s="10">
        <v>308.45</v>
      </c>
      <c r="E95" s="10">
        <v>308.45</v>
      </c>
      <c r="F95" s="10">
        <v>2.09</v>
      </c>
      <c r="G95" s="9">
        <f t="shared" si="11"/>
        <v>26.514630000000007</v>
      </c>
      <c r="H95" s="11" t="s">
        <v>686</v>
      </c>
      <c r="I95" s="12"/>
      <c r="L95">
        <f t="shared" si="10"/>
        <v>308.45</v>
      </c>
      <c r="M95" s="6"/>
      <c r="R95" s="7"/>
      <c r="S95" s="7"/>
    </row>
    <row r="96" spans="1:19" ht="28" x14ac:dyDescent="0.15">
      <c r="A96" s="8">
        <v>95</v>
      </c>
      <c r="B96" s="9" t="s">
        <v>616</v>
      </c>
      <c r="C96" s="9" t="s">
        <v>23</v>
      </c>
      <c r="D96" s="10">
        <v>359.11</v>
      </c>
      <c r="E96" s="10">
        <v>359.11</v>
      </c>
      <c r="F96" s="9">
        <v>4.0179910661185101</v>
      </c>
      <c r="G96" s="9">
        <f t="shared" si="11"/>
        <v>26.873740000000009</v>
      </c>
      <c r="H96" s="11" t="s">
        <v>686</v>
      </c>
      <c r="I96" s="12"/>
      <c r="L96">
        <f t="shared" si="10"/>
        <v>359.11</v>
      </c>
      <c r="M96" s="6"/>
      <c r="R96" s="7"/>
    </row>
    <row r="97" spans="1:19" ht="28" x14ac:dyDescent="0.15">
      <c r="A97" s="8">
        <v>96</v>
      </c>
      <c r="B97" s="9" t="s">
        <v>615</v>
      </c>
      <c r="C97" s="9" t="s">
        <v>23</v>
      </c>
      <c r="D97" s="10">
        <v>332.46</v>
      </c>
      <c r="E97" s="10">
        <v>332.46</v>
      </c>
      <c r="F97" s="9">
        <v>1.6585817379868899</v>
      </c>
      <c r="G97" s="9">
        <f t="shared" si="11"/>
        <v>27.20620000000001</v>
      </c>
      <c r="H97" s="11" t="s">
        <v>686</v>
      </c>
      <c r="I97" s="12"/>
      <c r="L97">
        <f t="shared" si="10"/>
        <v>332.46</v>
      </c>
      <c r="M97" s="6"/>
      <c r="R97" s="7"/>
    </row>
    <row r="98" spans="1:19" ht="28" x14ac:dyDescent="0.15">
      <c r="A98" s="8">
        <v>97</v>
      </c>
      <c r="B98" s="9" t="s">
        <v>614</v>
      </c>
      <c r="C98" s="9" t="s">
        <v>23</v>
      </c>
      <c r="D98" s="10">
        <v>292.24</v>
      </c>
      <c r="E98" s="10">
        <v>292.24</v>
      </c>
      <c r="F98" s="9">
        <v>0.166414651157133</v>
      </c>
      <c r="G98" s="9">
        <f t="shared" si="11"/>
        <v>27.498440000000009</v>
      </c>
      <c r="H98" s="11" t="s">
        <v>686</v>
      </c>
      <c r="I98" s="12"/>
      <c r="L98">
        <f t="shared" si="10"/>
        <v>292.24</v>
      </c>
      <c r="M98" s="6"/>
      <c r="R98" s="7"/>
    </row>
    <row r="99" spans="1:19" ht="28" x14ac:dyDescent="0.15">
      <c r="A99" s="8">
        <v>98</v>
      </c>
      <c r="B99" s="9" t="s">
        <v>613</v>
      </c>
      <c r="C99" s="9" t="s">
        <v>23</v>
      </c>
      <c r="D99" s="10">
        <v>268.83</v>
      </c>
      <c r="E99" s="10">
        <v>268.83</v>
      </c>
      <c r="F99" s="9">
        <v>0.25029962793789901</v>
      </c>
      <c r="G99" s="9">
        <f t="shared" si="11"/>
        <v>27.767270000000011</v>
      </c>
      <c r="H99" s="11" t="s">
        <v>686</v>
      </c>
      <c r="I99" s="12"/>
      <c r="L99">
        <f t="shared" si="10"/>
        <v>268.83</v>
      </c>
      <c r="M99" s="6"/>
      <c r="R99" s="7"/>
    </row>
    <row r="100" spans="1:19" ht="28" x14ac:dyDescent="0.15">
      <c r="A100" s="8">
        <v>99</v>
      </c>
      <c r="B100" s="9" t="s">
        <v>612</v>
      </c>
      <c r="C100" s="9" t="s">
        <v>28</v>
      </c>
      <c r="D100" s="10">
        <v>241.74</v>
      </c>
      <c r="E100" s="10">
        <v>250.24</v>
      </c>
      <c r="F100" s="10">
        <v>21.1</v>
      </c>
      <c r="G100" s="9">
        <f t="shared" si="11"/>
        <v>28.017510000000012</v>
      </c>
      <c r="H100" s="11" t="s">
        <v>686</v>
      </c>
      <c r="I100" s="12"/>
      <c r="K100" s="7">
        <f>D100+8.5</f>
        <v>250.24</v>
      </c>
      <c r="L100">
        <f t="shared" si="10"/>
        <v>250.24</v>
      </c>
      <c r="M100" s="6"/>
      <c r="R100" s="7"/>
      <c r="S100" s="7"/>
    </row>
    <row r="101" spans="1:19" ht="28" x14ac:dyDescent="0.15">
      <c r="A101" s="8">
        <v>100</v>
      </c>
      <c r="B101" s="9" t="s">
        <v>688</v>
      </c>
      <c r="C101" s="9" t="s">
        <v>23</v>
      </c>
      <c r="D101" s="10">
        <v>221.46</v>
      </c>
      <c r="E101" s="10">
        <v>221.46</v>
      </c>
      <c r="F101" s="10">
        <v>2.58</v>
      </c>
      <c r="G101" s="9">
        <f t="shared" si="11"/>
        <v>28.238970000000013</v>
      </c>
      <c r="H101" s="11" t="s">
        <v>686</v>
      </c>
      <c r="I101" s="12"/>
      <c r="L101">
        <f t="shared" si="10"/>
        <v>221.46</v>
      </c>
      <c r="M101" s="6"/>
      <c r="R101" s="7"/>
      <c r="S101" s="7"/>
    </row>
    <row r="102" spans="1:19" ht="28" x14ac:dyDescent="0.15">
      <c r="A102" s="8">
        <v>101</v>
      </c>
      <c r="B102" s="9" t="s">
        <v>689</v>
      </c>
      <c r="C102" s="9" t="s">
        <v>19</v>
      </c>
      <c r="D102" s="10">
        <v>223.29</v>
      </c>
      <c r="E102" s="10">
        <v>231.79</v>
      </c>
      <c r="F102" s="10">
        <v>11.84</v>
      </c>
      <c r="G102" s="9">
        <f t="shared" si="11"/>
        <v>28.470760000000013</v>
      </c>
      <c r="H102" s="11" t="s">
        <v>686</v>
      </c>
      <c r="I102" s="12"/>
      <c r="K102" s="7">
        <f t="shared" ref="K102:K104" si="12">D102+8.5</f>
        <v>231.79</v>
      </c>
      <c r="L102">
        <f t="shared" si="10"/>
        <v>231.79</v>
      </c>
      <c r="M102" s="6"/>
      <c r="R102" s="7"/>
      <c r="S102" s="7"/>
    </row>
    <row r="103" spans="1:19" ht="28" x14ac:dyDescent="0.15">
      <c r="A103" s="8">
        <v>102</v>
      </c>
      <c r="B103" s="9" t="s">
        <v>609</v>
      </c>
      <c r="C103" s="9" t="s">
        <v>19</v>
      </c>
      <c r="D103" s="10">
        <v>167.75</v>
      </c>
      <c r="E103" s="10">
        <v>176.25</v>
      </c>
      <c r="F103" s="10">
        <v>3.99</v>
      </c>
      <c r="G103" s="9">
        <f t="shared" si="11"/>
        <v>28.647010000000012</v>
      </c>
      <c r="H103" s="11" t="s">
        <v>686</v>
      </c>
      <c r="I103" s="12"/>
      <c r="K103" s="7">
        <f t="shared" si="12"/>
        <v>176.25</v>
      </c>
      <c r="L103">
        <f t="shared" si="10"/>
        <v>176.25</v>
      </c>
      <c r="M103" s="6"/>
      <c r="R103" s="7"/>
      <c r="S103" s="7"/>
    </row>
    <row r="104" spans="1:19" ht="28" x14ac:dyDescent="0.15">
      <c r="A104" s="8">
        <v>103</v>
      </c>
      <c r="B104" s="9" t="s">
        <v>608</v>
      </c>
      <c r="C104" s="9" t="s">
        <v>19</v>
      </c>
      <c r="D104" s="10">
        <v>339.31</v>
      </c>
      <c r="E104" s="10">
        <v>347.81</v>
      </c>
      <c r="F104" s="10">
        <v>25.17</v>
      </c>
      <c r="G104" s="9">
        <f t="shared" si="11"/>
        <v>28.994820000000011</v>
      </c>
      <c r="H104" s="11" t="s">
        <v>686</v>
      </c>
      <c r="I104" s="12"/>
      <c r="K104" s="7">
        <f t="shared" si="12"/>
        <v>347.81</v>
      </c>
      <c r="L104">
        <f t="shared" si="10"/>
        <v>347.81</v>
      </c>
      <c r="M104" s="6"/>
      <c r="R104" s="7"/>
      <c r="S104" s="7"/>
    </row>
    <row r="105" spans="1:19" ht="28" x14ac:dyDescent="0.15">
      <c r="A105" s="8">
        <v>104</v>
      </c>
      <c r="B105" s="9" t="s">
        <v>607</v>
      </c>
      <c r="C105" s="9" t="s">
        <v>23</v>
      </c>
      <c r="D105" s="10">
        <v>293.92</v>
      </c>
      <c r="E105" s="10">
        <v>293.92</v>
      </c>
      <c r="F105" s="10">
        <v>0.59</v>
      </c>
      <c r="G105" s="9">
        <f t="shared" si="11"/>
        <v>29.288740000000011</v>
      </c>
      <c r="H105" s="11" t="s">
        <v>686</v>
      </c>
      <c r="I105" s="12"/>
      <c r="L105">
        <f t="shared" si="10"/>
        <v>293.92</v>
      </c>
      <c r="M105" s="6"/>
      <c r="R105" s="7"/>
      <c r="S105" s="7"/>
    </row>
    <row r="106" spans="1:19" ht="28" x14ac:dyDescent="0.15">
      <c r="A106" s="8">
        <v>105</v>
      </c>
      <c r="B106" s="9" t="s">
        <v>606</v>
      </c>
      <c r="C106" s="9" t="s">
        <v>23</v>
      </c>
      <c r="D106" s="10">
        <v>345.36</v>
      </c>
      <c r="E106" s="10">
        <v>345.36</v>
      </c>
      <c r="F106" s="10">
        <v>2.5299999999999998</v>
      </c>
      <c r="G106" s="9">
        <f t="shared" si="11"/>
        <v>29.634100000000011</v>
      </c>
      <c r="H106" s="11" t="s">
        <v>686</v>
      </c>
      <c r="I106" s="12"/>
      <c r="L106">
        <f t="shared" si="10"/>
        <v>345.36</v>
      </c>
      <c r="M106" s="6"/>
      <c r="R106" s="7"/>
      <c r="S106" s="7"/>
    </row>
    <row r="107" spans="1:19" ht="28" x14ac:dyDescent="0.15">
      <c r="A107" s="8">
        <v>106</v>
      </c>
      <c r="B107" s="9" t="s">
        <v>605</v>
      </c>
      <c r="C107" s="9" t="s">
        <v>28</v>
      </c>
      <c r="D107" s="10">
        <v>339.94</v>
      </c>
      <c r="E107" s="10">
        <v>348.44</v>
      </c>
      <c r="F107" s="10">
        <v>14.5</v>
      </c>
      <c r="G107" s="9">
        <f t="shared" si="11"/>
        <v>29.982540000000011</v>
      </c>
      <c r="H107" s="11" t="s">
        <v>686</v>
      </c>
      <c r="I107" s="12"/>
      <c r="K107" s="7">
        <f>D107+8.5</f>
        <v>348.44</v>
      </c>
      <c r="L107">
        <f t="shared" si="10"/>
        <v>348.44</v>
      </c>
      <c r="M107" s="6"/>
      <c r="R107" s="7"/>
      <c r="S107" s="7"/>
    </row>
    <row r="108" spans="1:19" ht="28" x14ac:dyDescent="0.15">
      <c r="A108" s="8">
        <v>107</v>
      </c>
      <c r="B108" s="9" t="s">
        <v>604</v>
      </c>
      <c r="C108" s="9" t="s">
        <v>23</v>
      </c>
      <c r="D108" s="10">
        <v>341.66</v>
      </c>
      <c r="E108" s="10">
        <v>341.66</v>
      </c>
      <c r="F108" s="10">
        <v>0.54</v>
      </c>
      <c r="G108" s="9">
        <f t="shared" si="11"/>
        <v>30.324200000000012</v>
      </c>
      <c r="H108" s="11" t="s">
        <v>686</v>
      </c>
      <c r="I108" s="12"/>
      <c r="L108">
        <f t="shared" si="10"/>
        <v>341.66</v>
      </c>
      <c r="M108" s="6"/>
      <c r="R108" s="7"/>
      <c r="S108" s="7"/>
    </row>
    <row r="109" spans="1:19" ht="28" x14ac:dyDescent="0.15">
      <c r="A109" s="8">
        <v>108</v>
      </c>
      <c r="B109" s="9" t="s">
        <v>603</v>
      </c>
      <c r="C109" s="9" t="s">
        <v>23</v>
      </c>
      <c r="D109" s="10">
        <v>342.49</v>
      </c>
      <c r="E109" s="10">
        <v>342.49</v>
      </c>
      <c r="F109" s="10">
        <v>0.54</v>
      </c>
      <c r="G109" s="9">
        <f t="shared" si="11"/>
        <v>30.666690000000013</v>
      </c>
      <c r="H109" s="11" t="s">
        <v>686</v>
      </c>
      <c r="I109" s="12"/>
      <c r="L109">
        <f t="shared" si="10"/>
        <v>342.49</v>
      </c>
      <c r="M109" s="6"/>
      <c r="R109" s="7"/>
      <c r="S109" s="7"/>
    </row>
    <row r="110" spans="1:19" ht="28" x14ac:dyDescent="0.15">
      <c r="A110" s="8">
        <v>109</v>
      </c>
      <c r="B110" s="9" t="s">
        <v>602</v>
      </c>
      <c r="C110" s="9" t="s">
        <v>23</v>
      </c>
      <c r="D110" s="10">
        <v>342.82</v>
      </c>
      <c r="E110" s="10">
        <v>342.82</v>
      </c>
      <c r="F110" s="10">
        <v>1.45</v>
      </c>
      <c r="G110" s="9">
        <f t="shared" si="11"/>
        <v>31.009510000000013</v>
      </c>
      <c r="H110" s="11" t="s">
        <v>686</v>
      </c>
      <c r="I110" s="12"/>
      <c r="L110">
        <f t="shared" si="10"/>
        <v>342.82</v>
      </c>
      <c r="M110" s="6"/>
      <c r="R110" s="7"/>
      <c r="S110" s="7"/>
    </row>
    <row r="111" spans="1:19" ht="28" x14ac:dyDescent="0.15">
      <c r="A111" s="8">
        <v>110</v>
      </c>
      <c r="B111" s="9" t="s">
        <v>601</v>
      </c>
      <c r="C111" s="9" t="s">
        <v>28</v>
      </c>
      <c r="D111" s="10">
        <v>325.95999999999998</v>
      </c>
      <c r="E111" s="10">
        <v>334.46</v>
      </c>
      <c r="F111" s="10">
        <v>14.16</v>
      </c>
      <c r="G111" s="9">
        <f t="shared" si="11"/>
        <v>31.343970000000013</v>
      </c>
      <c r="H111" s="11" t="s">
        <v>686</v>
      </c>
      <c r="I111" s="12"/>
      <c r="K111" s="7">
        <f t="shared" ref="K111:K113" si="13">D111+8.5</f>
        <v>334.46</v>
      </c>
      <c r="L111">
        <f t="shared" si="10"/>
        <v>334.46</v>
      </c>
      <c r="M111" s="6"/>
      <c r="R111" s="7"/>
      <c r="S111" s="7"/>
    </row>
    <row r="112" spans="1:19" ht="28" x14ac:dyDescent="0.15">
      <c r="A112" s="8">
        <v>111</v>
      </c>
      <c r="B112" s="9" t="s">
        <v>600</v>
      </c>
      <c r="C112" s="9" t="s">
        <v>19</v>
      </c>
      <c r="D112" s="10">
        <v>157.84</v>
      </c>
      <c r="E112" s="10">
        <v>166.34</v>
      </c>
      <c r="F112" s="10">
        <v>58.59</v>
      </c>
      <c r="G112" s="9">
        <f t="shared" si="11"/>
        <v>31.510310000000015</v>
      </c>
      <c r="H112" s="11" t="s">
        <v>686</v>
      </c>
      <c r="I112" s="12"/>
      <c r="K112" s="7">
        <f t="shared" si="13"/>
        <v>166.34</v>
      </c>
      <c r="L112">
        <f t="shared" si="10"/>
        <v>166.34</v>
      </c>
      <c r="M112" s="6"/>
      <c r="R112" s="7"/>
      <c r="S112" s="7"/>
    </row>
    <row r="113" spans="1:19" ht="28" x14ac:dyDescent="0.15">
      <c r="A113" s="8">
        <v>112</v>
      </c>
      <c r="B113" s="9" t="s">
        <v>599</v>
      </c>
      <c r="C113" s="9" t="s">
        <v>19</v>
      </c>
      <c r="D113" s="10">
        <v>314.97000000000003</v>
      </c>
      <c r="E113" s="10">
        <v>323.47000000000003</v>
      </c>
      <c r="F113" s="10">
        <v>28.61</v>
      </c>
      <c r="G113" s="9">
        <f t="shared" si="11"/>
        <v>31.833780000000015</v>
      </c>
      <c r="H113" s="11" t="s">
        <v>686</v>
      </c>
      <c r="I113" s="12"/>
      <c r="K113" s="7">
        <f t="shared" si="13"/>
        <v>323.47000000000003</v>
      </c>
      <c r="L113">
        <f t="shared" si="10"/>
        <v>323.47000000000003</v>
      </c>
      <c r="M113" s="6"/>
      <c r="R113" s="7"/>
      <c r="S113" s="7"/>
    </row>
    <row r="114" spans="1:19" ht="28" x14ac:dyDescent="0.15">
      <c r="A114" s="8">
        <v>113</v>
      </c>
      <c r="B114" s="9" t="s">
        <v>598</v>
      </c>
      <c r="C114" s="9" t="s">
        <v>23</v>
      </c>
      <c r="D114" s="10">
        <v>299.44</v>
      </c>
      <c r="E114" s="10">
        <v>299.44</v>
      </c>
      <c r="F114" s="10">
        <v>4.2300000000000004</v>
      </c>
      <c r="G114" s="9">
        <f t="shared" si="11"/>
        <v>32.133220000000016</v>
      </c>
      <c r="H114" s="11" t="s">
        <v>686</v>
      </c>
      <c r="I114" s="12"/>
      <c r="L114">
        <f t="shared" si="10"/>
        <v>299.44</v>
      </c>
      <c r="M114" s="6"/>
      <c r="R114" s="7"/>
      <c r="S114" s="7"/>
    </row>
    <row r="115" spans="1:19" ht="28" x14ac:dyDescent="0.15">
      <c r="A115" s="8">
        <v>114</v>
      </c>
      <c r="B115" s="9" t="s">
        <v>597</v>
      </c>
      <c r="C115" s="9" t="s">
        <v>19</v>
      </c>
      <c r="D115" s="10">
        <v>348.76</v>
      </c>
      <c r="E115" s="10">
        <v>357.26</v>
      </c>
      <c r="F115" s="10">
        <v>9.51</v>
      </c>
      <c r="G115" s="9">
        <f t="shared" si="11"/>
        <v>32.490480000000012</v>
      </c>
      <c r="H115" s="11" t="s">
        <v>686</v>
      </c>
      <c r="I115" s="12"/>
      <c r="K115" s="7">
        <f>D115+8.5</f>
        <v>357.26</v>
      </c>
      <c r="L115">
        <f t="shared" si="10"/>
        <v>357.26</v>
      </c>
      <c r="M115" s="6"/>
      <c r="R115" s="7"/>
      <c r="S115" s="7"/>
    </row>
    <row r="116" spans="1:19" ht="28" x14ac:dyDescent="0.15">
      <c r="A116" s="8">
        <v>115</v>
      </c>
      <c r="B116" s="9" t="s">
        <v>596</v>
      </c>
      <c r="C116" s="9" t="s">
        <v>23</v>
      </c>
      <c r="D116" s="10">
        <v>277.98</v>
      </c>
      <c r="E116" s="10">
        <v>277.98</v>
      </c>
      <c r="F116" s="10">
        <v>0.43</v>
      </c>
      <c r="G116" s="9">
        <f t="shared" si="11"/>
        <v>32.768460000000012</v>
      </c>
      <c r="H116" s="11" t="s">
        <v>686</v>
      </c>
      <c r="I116" s="12"/>
      <c r="L116">
        <f t="shared" si="10"/>
        <v>277.98</v>
      </c>
      <c r="M116" s="6"/>
      <c r="R116" s="7"/>
      <c r="S116" s="7"/>
    </row>
    <row r="117" spans="1:19" ht="28" x14ac:dyDescent="0.15">
      <c r="A117" s="8">
        <v>116</v>
      </c>
      <c r="B117" s="9" t="s">
        <v>595</v>
      </c>
      <c r="C117" s="9" t="s">
        <v>23</v>
      </c>
      <c r="D117" s="10">
        <v>320.54000000000002</v>
      </c>
      <c r="E117" s="10">
        <v>320.54000000000002</v>
      </c>
      <c r="F117" s="10">
        <v>1.71</v>
      </c>
      <c r="G117" s="9">
        <f t="shared" si="11"/>
        <v>33.089000000000013</v>
      </c>
      <c r="H117" s="11" t="s">
        <v>686</v>
      </c>
      <c r="I117" s="12"/>
      <c r="L117">
        <f t="shared" si="10"/>
        <v>320.54000000000002</v>
      </c>
      <c r="M117" s="6"/>
      <c r="R117" s="7"/>
      <c r="S117" s="7"/>
    </row>
    <row r="118" spans="1:19" ht="28" x14ac:dyDescent="0.15">
      <c r="A118" s="8">
        <v>117</v>
      </c>
      <c r="B118" s="9" t="s">
        <v>594</v>
      </c>
      <c r="C118" s="9" t="s">
        <v>23</v>
      </c>
      <c r="D118" s="10">
        <v>307.55</v>
      </c>
      <c r="E118" s="10">
        <v>307.55</v>
      </c>
      <c r="F118" s="10">
        <v>1.06</v>
      </c>
      <c r="G118" s="9">
        <f t="shared" si="11"/>
        <v>33.396550000000012</v>
      </c>
      <c r="H118" s="11" t="s">
        <v>686</v>
      </c>
      <c r="I118" s="12"/>
      <c r="L118">
        <f t="shared" si="10"/>
        <v>307.55</v>
      </c>
      <c r="M118" s="6"/>
      <c r="R118" s="7"/>
      <c r="S118" s="7"/>
    </row>
    <row r="119" spans="1:19" ht="28" x14ac:dyDescent="0.15">
      <c r="A119" s="8">
        <v>118</v>
      </c>
      <c r="B119" s="9" t="s">
        <v>593</v>
      </c>
      <c r="C119" s="9" t="s">
        <v>23</v>
      </c>
      <c r="D119" s="10">
        <v>326.18</v>
      </c>
      <c r="E119" s="10">
        <v>326.18</v>
      </c>
      <c r="F119" s="10">
        <v>1.92</v>
      </c>
      <c r="G119" s="9">
        <f t="shared" si="11"/>
        <v>33.722730000000013</v>
      </c>
      <c r="H119" s="11" t="s">
        <v>686</v>
      </c>
      <c r="I119" s="12"/>
      <c r="L119">
        <f t="shared" si="10"/>
        <v>326.18</v>
      </c>
      <c r="M119" s="6"/>
      <c r="R119" s="7"/>
      <c r="S119" s="7"/>
    </row>
    <row r="120" spans="1:19" ht="28" x14ac:dyDescent="0.15">
      <c r="A120" s="8">
        <v>119</v>
      </c>
      <c r="B120" s="9" t="s">
        <v>592</v>
      </c>
      <c r="C120" s="9" t="s">
        <v>23</v>
      </c>
      <c r="D120" s="10">
        <v>268.04000000000002</v>
      </c>
      <c r="E120" s="10">
        <v>268.04000000000002</v>
      </c>
      <c r="F120" s="10">
        <v>2.76</v>
      </c>
      <c r="G120" s="9">
        <f t="shared" si="11"/>
        <v>33.990770000000012</v>
      </c>
      <c r="H120" s="11" t="s">
        <v>686</v>
      </c>
      <c r="I120" s="12"/>
      <c r="L120">
        <f t="shared" si="10"/>
        <v>268.04000000000002</v>
      </c>
      <c r="M120" s="6"/>
      <c r="R120" s="7"/>
      <c r="S120" s="7"/>
    </row>
    <row r="121" spans="1:19" ht="28" x14ac:dyDescent="0.15">
      <c r="A121" s="8">
        <v>120</v>
      </c>
      <c r="B121" s="9" t="s">
        <v>591</v>
      </c>
      <c r="C121" s="9" t="s">
        <v>19</v>
      </c>
      <c r="D121" s="10">
        <v>352.41</v>
      </c>
      <c r="E121" s="10">
        <v>360.91</v>
      </c>
      <c r="F121" s="10">
        <v>33.5</v>
      </c>
      <c r="G121" s="9">
        <f t="shared" si="11"/>
        <v>34.351680000000009</v>
      </c>
      <c r="H121" s="11" t="s">
        <v>686</v>
      </c>
      <c r="I121" s="12"/>
      <c r="K121" s="7">
        <f>D121+8.5</f>
        <v>360.91</v>
      </c>
      <c r="L121">
        <f t="shared" si="10"/>
        <v>360.91</v>
      </c>
      <c r="M121" s="6"/>
      <c r="R121" s="7"/>
      <c r="S121" s="7"/>
    </row>
    <row r="122" spans="1:19" ht="28" x14ac:dyDescent="0.15">
      <c r="A122" s="8">
        <v>121</v>
      </c>
      <c r="B122" s="9" t="s">
        <v>590</v>
      </c>
      <c r="C122" s="9" t="s">
        <v>23</v>
      </c>
      <c r="D122" s="10">
        <v>337.44</v>
      </c>
      <c r="E122" s="10">
        <v>337.44</v>
      </c>
      <c r="F122" s="10">
        <v>1.03</v>
      </c>
      <c r="G122" s="9">
        <f t="shared" si="11"/>
        <v>34.68912000000001</v>
      </c>
      <c r="H122" s="11" t="s">
        <v>686</v>
      </c>
      <c r="I122" s="12"/>
      <c r="L122">
        <f t="shared" si="10"/>
        <v>337.44</v>
      </c>
      <c r="M122" s="6"/>
      <c r="R122" s="7"/>
      <c r="S122" s="7"/>
    </row>
    <row r="123" spans="1:19" ht="28" x14ac:dyDescent="0.15">
      <c r="A123" s="8">
        <v>122</v>
      </c>
      <c r="B123" s="9" t="s">
        <v>589</v>
      </c>
      <c r="C123" s="9" t="s">
        <v>16</v>
      </c>
      <c r="D123" s="10">
        <v>284.54000000000002</v>
      </c>
      <c r="E123" s="10">
        <v>284.54000000000002</v>
      </c>
      <c r="F123" s="10">
        <v>15.45</v>
      </c>
      <c r="G123" s="9">
        <f t="shared" si="11"/>
        <v>34.97366000000001</v>
      </c>
      <c r="H123" s="11" t="s">
        <v>686</v>
      </c>
      <c r="I123" s="12"/>
      <c r="L123">
        <f t="shared" si="10"/>
        <v>284.54000000000002</v>
      </c>
      <c r="M123" s="6"/>
      <c r="R123" s="7"/>
      <c r="S123" s="7"/>
    </row>
    <row r="124" spans="1:19" ht="28" x14ac:dyDescent="0.15">
      <c r="A124" s="8">
        <v>123</v>
      </c>
      <c r="B124" s="9" t="s">
        <v>588</v>
      </c>
      <c r="C124" s="9" t="s">
        <v>23</v>
      </c>
      <c r="D124" s="10">
        <v>339.05</v>
      </c>
      <c r="E124" s="10">
        <v>339.05</v>
      </c>
      <c r="F124" s="10">
        <v>1.2</v>
      </c>
      <c r="G124" s="9">
        <f t="shared" si="11"/>
        <v>35.31271000000001</v>
      </c>
      <c r="H124" s="11" t="s">
        <v>686</v>
      </c>
      <c r="I124" s="12"/>
      <c r="L124">
        <f t="shared" si="10"/>
        <v>339.05</v>
      </c>
      <c r="M124" s="6"/>
      <c r="R124" s="7"/>
      <c r="S124" s="7"/>
    </row>
    <row r="125" spans="1:19" ht="28" x14ac:dyDescent="0.15">
      <c r="A125" s="8">
        <v>124</v>
      </c>
      <c r="B125" s="9" t="s">
        <v>587</v>
      </c>
      <c r="C125" s="9" t="s">
        <v>23</v>
      </c>
      <c r="D125" s="10">
        <v>356.14</v>
      </c>
      <c r="E125" s="10">
        <v>356.14</v>
      </c>
      <c r="F125" s="10">
        <v>2.41</v>
      </c>
      <c r="G125" s="9">
        <f t="shared" si="11"/>
        <v>35.668850000000013</v>
      </c>
      <c r="H125" s="11" t="s">
        <v>686</v>
      </c>
      <c r="I125" s="12"/>
      <c r="L125">
        <f t="shared" si="10"/>
        <v>356.14</v>
      </c>
      <c r="M125" s="6"/>
      <c r="R125" s="7"/>
      <c r="S125" s="7"/>
    </row>
    <row r="126" spans="1:19" ht="28" x14ac:dyDescent="0.15">
      <c r="A126" s="8">
        <v>125</v>
      </c>
      <c r="B126" s="9" t="s">
        <v>586</v>
      </c>
      <c r="C126" s="9" t="s">
        <v>28</v>
      </c>
      <c r="D126" s="10">
        <v>261.91000000000003</v>
      </c>
      <c r="E126" s="10">
        <v>270.41000000000003</v>
      </c>
      <c r="F126" s="10">
        <v>25.21</v>
      </c>
      <c r="G126" s="9">
        <f t="shared" si="11"/>
        <v>35.939260000000012</v>
      </c>
      <c r="H126" s="11" t="s">
        <v>686</v>
      </c>
      <c r="I126" s="12"/>
      <c r="K126" s="7">
        <f t="shared" ref="K126:K128" si="14">D126+8.5</f>
        <v>270.41000000000003</v>
      </c>
      <c r="L126">
        <f t="shared" si="10"/>
        <v>270.41000000000003</v>
      </c>
      <c r="M126" s="6"/>
      <c r="R126" s="7"/>
      <c r="S126" s="7"/>
    </row>
    <row r="127" spans="1:19" ht="28" x14ac:dyDescent="0.15">
      <c r="A127" s="8">
        <v>126</v>
      </c>
      <c r="B127" s="9" t="s">
        <v>585</v>
      </c>
      <c r="C127" s="9" t="s">
        <v>28</v>
      </c>
      <c r="D127" s="10">
        <v>300.70999999999998</v>
      </c>
      <c r="E127" s="10">
        <v>309.20999999999998</v>
      </c>
      <c r="F127" s="10">
        <v>1.48</v>
      </c>
      <c r="G127" s="9">
        <f t="shared" si="11"/>
        <v>36.248470000000012</v>
      </c>
      <c r="H127" s="11" t="s">
        <v>686</v>
      </c>
      <c r="I127" s="12"/>
      <c r="K127" s="7">
        <f t="shared" si="14"/>
        <v>309.20999999999998</v>
      </c>
      <c r="L127">
        <f t="shared" si="10"/>
        <v>309.20999999999998</v>
      </c>
      <c r="M127" s="6"/>
      <c r="R127" s="7"/>
      <c r="S127" s="7"/>
    </row>
    <row r="128" spans="1:19" ht="28" x14ac:dyDescent="0.15">
      <c r="A128" s="8">
        <v>127</v>
      </c>
      <c r="B128" s="9" t="s">
        <v>584</v>
      </c>
      <c r="C128" s="9" t="s">
        <v>14</v>
      </c>
      <c r="D128" s="10">
        <v>213.21</v>
      </c>
      <c r="E128" s="10">
        <v>221.71</v>
      </c>
      <c r="F128" s="10">
        <v>65.84</v>
      </c>
      <c r="G128" s="9">
        <f t="shared" si="11"/>
        <v>36.470180000000013</v>
      </c>
      <c r="H128" s="11" t="s">
        <v>686</v>
      </c>
      <c r="I128" s="12"/>
      <c r="K128" s="7">
        <f t="shared" si="14"/>
        <v>221.71</v>
      </c>
      <c r="L128">
        <f t="shared" si="10"/>
        <v>221.71</v>
      </c>
      <c r="M128" s="6"/>
      <c r="R128" s="7"/>
      <c r="S128" s="7"/>
    </row>
    <row r="129" spans="1:19" ht="28" x14ac:dyDescent="0.15">
      <c r="A129" s="8">
        <v>128</v>
      </c>
      <c r="B129" s="9" t="s">
        <v>583</v>
      </c>
      <c r="C129" s="9" t="s">
        <v>23</v>
      </c>
      <c r="D129" s="10">
        <v>301.14999999999998</v>
      </c>
      <c r="E129" s="10">
        <v>301.14999999999998</v>
      </c>
      <c r="F129" s="10">
        <v>1.32</v>
      </c>
      <c r="G129" s="9">
        <f t="shared" si="11"/>
        <v>36.771330000000013</v>
      </c>
      <c r="H129" s="11" t="s">
        <v>686</v>
      </c>
      <c r="I129" s="12"/>
      <c r="L129">
        <f t="shared" si="10"/>
        <v>301.14999999999998</v>
      </c>
      <c r="M129" s="6"/>
      <c r="R129" s="7"/>
      <c r="S129" s="7"/>
    </row>
    <row r="130" spans="1:19" ht="28" x14ac:dyDescent="0.15">
      <c r="A130" s="8">
        <v>129</v>
      </c>
      <c r="B130" s="9" t="s">
        <v>580</v>
      </c>
      <c r="C130" s="9" t="s">
        <v>14</v>
      </c>
      <c r="D130" s="10">
        <v>91.73</v>
      </c>
      <c r="E130" s="10">
        <v>100.23</v>
      </c>
      <c r="F130" s="10">
        <v>58.62</v>
      </c>
      <c r="G130" s="9">
        <f t="shared" si="11"/>
        <v>36.871560000000017</v>
      </c>
      <c r="H130" s="11" t="s">
        <v>686</v>
      </c>
      <c r="I130" s="12"/>
      <c r="K130" s="7">
        <f t="shared" ref="K130:K131" si="15">D130+8.5</f>
        <v>100.23</v>
      </c>
      <c r="L130">
        <f t="shared" si="10"/>
        <v>100.23</v>
      </c>
      <c r="M130" s="6"/>
      <c r="R130" s="7"/>
      <c r="S130" s="7"/>
    </row>
    <row r="131" spans="1:19" ht="28" x14ac:dyDescent="0.15">
      <c r="A131" s="8">
        <v>130</v>
      </c>
      <c r="B131" s="9" t="s">
        <v>580</v>
      </c>
      <c r="C131" s="9" t="s">
        <v>14</v>
      </c>
      <c r="D131" s="10">
        <v>356.9</v>
      </c>
      <c r="E131" s="10">
        <v>365.4</v>
      </c>
      <c r="F131" s="10">
        <v>123.6</v>
      </c>
      <c r="G131" s="9">
        <f t="shared" si="11"/>
        <v>37.236960000000018</v>
      </c>
      <c r="H131" s="11" t="s">
        <v>581</v>
      </c>
      <c r="I131" s="8" t="s">
        <v>582</v>
      </c>
      <c r="K131" s="7">
        <f t="shared" si="15"/>
        <v>365.4</v>
      </c>
      <c r="L131">
        <f t="shared" ref="L131:L194" si="16">IF(K131&lt;&gt;"",K131,D131)</f>
        <v>365.4</v>
      </c>
      <c r="M131" s="6"/>
      <c r="R131" s="7"/>
      <c r="S131" s="7"/>
    </row>
    <row r="132" spans="1:19" ht="28" x14ac:dyDescent="0.15">
      <c r="A132" s="8">
        <v>131</v>
      </c>
      <c r="B132" s="9" t="s">
        <v>583</v>
      </c>
      <c r="C132" s="9" t="s">
        <v>16</v>
      </c>
      <c r="D132" s="10">
        <v>258.45999999999998</v>
      </c>
      <c r="E132" s="10">
        <v>258.45999999999998</v>
      </c>
      <c r="F132" s="10">
        <v>0.44</v>
      </c>
      <c r="G132" s="9">
        <f t="shared" ref="G132:G195" si="17">E132/1000+G131</f>
        <v>37.495420000000017</v>
      </c>
      <c r="H132" s="11" t="s">
        <v>581</v>
      </c>
      <c r="I132" s="8"/>
      <c r="L132">
        <f t="shared" si="16"/>
        <v>258.45999999999998</v>
      </c>
      <c r="M132" s="6"/>
      <c r="R132" s="7"/>
      <c r="S132" s="7"/>
    </row>
    <row r="133" spans="1:19" ht="28" x14ac:dyDescent="0.15">
      <c r="A133" s="8">
        <v>132</v>
      </c>
      <c r="B133" s="9" t="s">
        <v>584</v>
      </c>
      <c r="C133" s="9" t="s">
        <v>14</v>
      </c>
      <c r="D133" s="10">
        <v>275.47000000000003</v>
      </c>
      <c r="E133" s="10">
        <v>283.97000000000003</v>
      </c>
      <c r="F133" s="10">
        <v>64.22</v>
      </c>
      <c r="G133" s="9">
        <f t="shared" si="17"/>
        <v>37.779390000000014</v>
      </c>
      <c r="H133" s="11" t="s">
        <v>581</v>
      </c>
      <c r="I133" s="8"/>
      <c r="K133" s="7">
        <f>D133+8.5</f>
        <v>283.97000000000003</v>
      </c>
      <c r="L133">
        <f t="shared" si="16"/>
        <v>283.97000000000003</v>
      </c>
      <c r="M133" s="6"/>
      <c r="R133" s="7"/>
      <c r="S133" s="7"/>
    </row>
    <row r="134" spans="1:19" ht="28" x14ac:dyDescent="0.15">
      <c r="A134" s="8">
        <v>133</v>
      </c>
      <c r="B134" s="9" t="s">
        <v>585</v>
      </c>
      <c r="C134" s="9" t="s">
        <v>23</v>
      </c>
      <c r="D134" s="10">
        <v>272.93</v>
      </c>
      <c r="E134" s="10">
        <v>272.93</v>
      </c>
      <c r="F134" s="10">
        <v>0.77</v>
      </c>
      <c r="G134" s="9">
        <f t="shared" si="17"/>
        <v>38.052320000000016</v>
      </c>
      <c r="H134" s="11" t="s">
        <v>581</v>
      </c>
      <c r="I134" s="8"/>
      <c r="L134">
        <f t="shared" si="16"/>
        <v>272.93</v>
      </c>
      <c r="M134" s="6"/>
      <c r="R134" s="7"/>
      <c r="S134" s="7"/>
    </row>
    <row r="135" spans="1:19" ht="28" x14ac:dyDescent="0.15">
      <c r="A135" s="8">
        <v>134</v>
      </c>
      <c r="B135" s="9" t="s">
        <v>586</v>
      </c>
      <c r="C135" s="9" t="s">
        <v>16</v>
      </c>
      <c r="D135" s="10">
        <v>394.31</v>
      </c>
      <c r="E135" s="10">
        <v>394.31</v>
      </c>
      <c r="F135" s="10">
        <v>16.850000000000001</v>
      </c>
      <c r="G135" s="9">
        <f t="shared" si="17"/>
        <v>38.446630000000013</v>
      </c>
      <c r="H135" s="11" t="s">
        <v>581</v>
      </c>
      <c r="I135" s="8"/>
      <c r="L135">
        <f t="shared" si="16"/>
        <v>394.31</v>
      </c>
      <c r="M135" s="6"/>
      <c r="R135" s="7"/>
      <c r="S135" s="7"/>
    </row>
    <row r="136" spans="1:19" ht="28" x14ac:dyDescent="0.15">
      <c r="A136" s="8">
        <v>135</v>
      </c>
      <c r="B136" s="9" t="s">
        <v>587</v>
      </c>
      <c r="C136" s="9" t="s">
        <v>23</v>
      </c>
      <c r="D136" s="10">
        <v>330.75</v>
      </c>
      <c r="E136" s="10">
        <v>330.75</v>
      </c>
      <c r="F136" s="10">
        <v>0.49</v>
      </c>
      <c r="G136" s="9">
        <f t="shared" si="17"/>
        <v>38.777380000000015</v>
      </c>
      <c r="H136" s="11" t="s">
        <v>581</v>
      </c>
      <c r="I136" s="8"/>
      <c r="L136">
        <f t="shared" si="16"/>
        <v>330.75</v>
      </c>
      <c r="M136" s="6"/>
      <c r="R136" s="7"/>
      <c r="S136" s="7"/>
    </row>
    <row r="137" spans="1:19" ht="28" x14ac:dyDescent="0.15">
      <c r="A137" s="8">
        <v>136</v>
      </c>
      <c r="B137" s="9" t="s">
        <v>588</v>
      </c>
      <c r="C137" s="9" t="s">
        <v>23</v>
      </c>
      <c r="D137" s="10">
        <v>282.25</v>
      </c>
      <c r="E137" s="10">
        <v>282.25</v>
      </c>
      <c r="F137" s="10">
        <v>0.34</v>
      </c>
      <c r="G137" s="9">
        <f t="shared" si="17"/>
        <v>39.059630000000013</v>
      </c>
      <c r="H137" s="11" t="s">
        <v>581</v>
      </c>
      <c r="I137" s="8"/>
      <c r="L137">
        <f t="shared" si="16"/>
        <v>282.25</v>
      </c>
      <c r="M137" s="6"/>
      <c r="R137" s="7"/>
      <c r="S137" s="7"/>
    </row>
    <row r="138" spans="1:19" ht="28" x14ac:dyDescent="0.15">
      <c r="A138" s="8">
        <v>137</v>
      </c>
      <c r="B138" s="9" t="s">
        <v>589</v>
      </c>
      <c r="C138" s="9" t="s">
        <v>19</v>
      </c>
      <c r="D138" s="10">
        <v>257.95</v>
      </c>
      <c r="E138" s="10">
        <v>266.45</v>
      </c>
      <c r="F138" s="10">
        <v>44.87</v>
      </c>
      <c r="G138" s="9">
        <f t="shared" si="17"/>
        <v>39.326080000000012</v>
      </c>
      <c r="H138" s="11" t="s">
        <v>581</v>
      </c>
      <c r="I138" s="8"/>
      <c r="K138" s="7">
        <f>D138+8.5</f>
        <v>266.45</v>
      </c>
      <c r="L138">
        <f t="shared" si="16"/>
        <v>266.45</v>
      </c>
      <c r="M138" s="6"/>
      <c r="R138" s="7"/>
      <c r="S138" s="7"/>
    </row>
    <row r="139" spans="1:19" ht="28" x14ac:dyDescent="0.15">
      <c r="A139" s="8">
        <v>138</v>
      </c>
      <c r="B139" s="9" t="s">
        <v>590</v>
      </c>
      <c r="C139" s="9" t="s">
        <v>23</v>
      </c>
      <c r="D139" s="10">
        <v>319.83</v>
      </c>
      <c r="E139" s="10">
        <v>319.83</v>
      </c>
      <c r="F139" s="10">
        <v>0.99</v>
      </c>
      <c r="G139" s="9">
        <f t="shared" si="17"/>
        <v>39.645910000000015</v>
      </c>
      <c r="H139" s="11" t="s">
        <v>581</v>
      </c>
      <c r="I139" s="8"/>
      <c r="L139">
        <f t="shared" si="16"/>
        <v>319.83</v>
      </c>
      <c r="M139" s="6"/>
      <c r="R139" s="7"/>
      <c r="S139" s="7"/>
    </row>
    <row r="140" spans="1:19" ht="28" x14ac:dyDescent="0.15">
      <c r="A140" s="8">
        <v>139</v>
      </c>
      <c r="B140" s="9" t="s">
        <v>591</v>
      </c>
      <c r="C140" s="9" t="s">
        <v>23</v>
      </c>
      <c r="D140" s="10">
        <v>345.12</v>
      </c>
      <c r="E140" s="10">
        <v>345.12</v>
      </c>
      <c r="F140" s="10">
        <v>0.28999999999999998</v>
      </c>
      <c r="G140" s="9">
        <f t="shared" si="17"/>
        <v>39.991030000000016</v>
      </c>
      <c r="H140" s="11" t="s">
        <v>581</v>
      </c>
      <c r="I140" s="8"/>
      <c r="L140">
        <f t="shared" si="16"/>
        <v>345.12</v>
      </c>
      <c r="M140" s="6"/>
      <c r="R140" s="7"/>
      <c r="S140" s="7"/>
    </row>
    <row r="141" spans="1:19" ht="28" x14ac:dyDescent="0.15">
      <c r="A141" s="8">
        <v>140</v>
      </c>
      <c r="B141" s="9" t="s">
        <v>592</v>
      </c>
      <c r="C141" s="9" t="s">
        <v>23</v>
      </c>
      <c r="D141" s="10">
        <v>296.85000000000002</v>
      </c>
      <c r="E141" s="10">
        <v>296.85000000000002</v>
      </c>
      <c r="F141" s="10">
        <v>1.25</v>
      </c>
      <c r="G141" s="9">
        <f t="shared" si="17"/>
        <v>40.287880000000015</v>
      </c>
      <c r="H141" s="11" t="s">
        <v>581</v>
      </c>
      <c r="I141" s="8"/>
      <c r="L141">
        <f t="shared" si="16"/>
        <v>296.85000000000002</v>
      </c>
      <c r="M141" s="6"/>
      <c r="R141" s="7"/>
      <c r="S141" s="7"/>
    </row>
    <row r="142" spans="1:19" ht="28" x14ac:dyDescent="0.15">
      <c r="A142" s="8">
        <v>141</v>
      </c>
      <c r="B142" s="9" t="s">
        <v>593</v>
      </c>
      <c r="C142" s="9" t="s">
        <v>23</v>
      </c>
      <c r="D142" s="10">
        <v>325.05</v>
      </c>
      <c r="E142" s="10">
        <v>325.05</v>
      </c>
      <c r="F142" s="10">
        <v>2.4</v>
      </c>
      <c r="G142" s="9">
        <f t="shared" si="17"/>
        <v>40.612930000000013</v>
      </c>
      <c r="H142" s="11" t="s">
        <v>581</v>
      </c>
      <c r="I142" s="8"/>
      <c r="L142">
        <f t="shared" si="16"/>
        <v>325.05</v>
      </c>
      <c r="M142" s="6"/>
      <c r="R142" s="7"/>
      <c r="S142" s="7"/>
    </row>
    <row r="143" spans="1:19" ht="28" x14ac:dyDescent="0.15">
      <c r="A143" s="8">
        <v>142</v>
      </c>
      <c r="B143" s="9" t="s">
        <v>594</v>
      </c>
      <c r="C143" s="9" t="s">
        <v>23</v>
      </c>
      <c r="D143" s="10">
        <v>321.70999999999998</v>
      </c>
      <c r="E143" s="10">
        <v>321.70999999999998</v>
      </c>
      <c r="F143" s="10">
        <v>1.62</v>
      </c>
      <c r="G143" s="9">
        <f t="shared" si="17"/>
        <v>40.934640000000016</v>
      </c>
      <c r="H143" s="11" t="s">
        <v>581</v>
      </c>
      <c r="I143" s="8"/>
      <c r="L143">
        <f t="shared" si="16"/>
        <v>321.70999999999998</v>
      </c>
      <c r="M143" s="6"/>
      <c r="R143" s="7"/>
      <c r="S143" s="7"/>
    </row>
    <row r="144" spans="1:19" ht="28" x14ac:dyDescent="0.15">
      <c r="A144" s="8">
        <v>143</v>
      </c>
      <c r="B144" s="9" t="s">
        <v>595</v>
      </c>
      <c r="C144" s="9" t="s">
        <v>28</v>
      </c>
      <c r="D144" s="10">
        <v>331.11</v>
      </c>
      <c r="E144" s="10">
        <v>339.61</v>
      </c>
      <c r="F144" s="10">
        <v>22.84</v>
      </c>
      <c r="G144" s="9">
        <f t="shared" si="17"/>
        <v>41.274250000000016</v>
      </c>
      <c r="H144" s="11" t="s">
        <v>581</v>
      </c>
      <c r="I144" s="8"/>
      <c r="K144" s="7">
        <f>D144+8.5</f>
        <v>339.61</v>
      </c>
      <c r="L144">
        <f t="shared" si="16"/>
        <v>339.61</v>
      </c>
      <c r="M144" s="6"/>
      <c r="R144" s="7"/>
      <c r="S144" s="7"/>
    </row>
    <row r="145" spans="1:19" ht="28" x14ac:dyDescent="0.15">
      <c r="A145" s="8">
        <v>144</v>
      </c>
      <c r="B145" s="9" t="s">
        <v>596</v>
      </c>
      <c r="C145" s="9" t="s">
        <v>23</v>
      </c>
      <c r="D145" s="10">
        <v>342.24</v>
      </c>
      <c r="E145" s="10">
        <v>342.24</v>
      </c>
      <c r="F145" s="10">
        <v>0.26</v>
      </c>
      <c r="G145" s="9">
        <f t="shared" si="17"/>
        <v>41.616490000000013</v>
      </c>
      <c r="H145" s="11" t="s">
        <v>581</v>
      </c>
      <c r="I145" s="8"/>
      <c r="L145">
        <f t="shared" si="16"/>
        <v>342.24</v>
      </c>
      <c r="M145" s="6"/>
      <c r="R145" s="7"/>
      <c r="S145" s="7"/>
    </row>
    <row r="146" spans="1:19" ht="28" x14ac:dyDescent="0.15">
      <c r="A146" s="8">
        <v>145</v>
      </c>
      <c r="B146" s="9" t="s">
        <v>597</v>
      </c>
      <c r="C146" s="9" t="s">
        <v>23</v>
      </c>
      <c r="D146" s="10">
        <v>307.72000000000003</v>
      </c>
      <c r="E146" s="10">
        <v>307.72000000000003</v>
      </c>
      <c r="F146" s="10">
        <v>1.25</v>
      </c>
      <c r="G146" s="9">
        <f t="shared" si="17"/>
        <v>41.924210000000016</v>
      </c>
      <c r="H146" s="11" t="s">
        <v>581</v>
      </c>
      <c r="I146" s="8"/>
      <c r="L146">
        <f t="shared" si="16"/>
        <v>307.72000000000003</v>
      </c>
      <c r="M146" s="6"/>
      <c r="R146" s="7"/>
      <c r="S146" s="7"/>
    </row>
    <row r="147" spans="1:19" ht="28" x14ac:dyDescent="0.15">
      <c r="A147" s="8">
        <v>146</v>
      </c>
      <c r="B147" s="9" t="s">
        <v>598</v>
      </c>
      <c r="C147" s="9" t="s">
        <v>23</v>
      </c>
      <c r="D147" s="10">
        <v>365.93</v>
      </c>
      <c r="E147" s="10">
        <v>365.93</v>
      </c>
      <c r="F147" s="10">
        <v>2.84</v>
      </c>
      <c r="G147" s="9">
        <f t="shared" si="17"/>
        <v>42.290140000000015</v>
      </c>
      <c r="H147" s="11" t="s">
        <v>581</v>
      </c>
      <c r="I147" s="8"/>
      <c r="L147">
        <f t="shared" si="16"/>
        <v>365.93</v>
      </c>
      <c r="M147" s="6"/>
      <c r="R147" s="7"/>
      <c r="S147" s="7"/>
    </row>
    <row r="148" spans="1:19" ht="28" x14ac:dyDescent="0.15">
      <c r="A148" s="8">
        <v>147</v>
      </c>
      <c r="B148" s="9" t="s">
        <v>599</v>
      </c>
      <c r="C148" s="9" t="s">
        <v>19</v>
      </c>
      <c r="D148" s="10">
        <v>299.20999999999998</v>
      </c>
      <c r="E148" s="10">
        <v>307.70999999999998</v>
      </c>
      <c r="F148" s="10">
        <v>0.02</v>
      </c>
      <c r="G148" s="9">
        <f t="shared" si="17"/>
        <v>42.597850000000015</v>
      </c>
      <c r="H148" s="11" t="s">
        <v>581</v>
      </c>
      <c r="I148" s="8"/>
      <c r="K148" s="7">
        <f>D148+8.5</f>
        <v>307.70999999999998</v>
      </c>
      <c r="L148">
        <f t="shared" si="16"/>
        <v>307.70999999999998</v>
      </c>
      <c r="M148" s="6"/>
      <c r="R148" s="7"/>
      <c r="S148" s="7"/>
    </row>
    <row r="149" spans="1:19" ht="28" x14ac:dyDescent="0.15">
      <c r="A149" s="8">
        <v>148</v>
      </c>
      <c r="B149" s="9" t="s">
        <v>600</v>
      </c>
      <c r="C149" s="9" t="s">
        <v>16</v>
      </c>
      <c r="D149" s="10">
        <v>329.5</v>
      </c>
      <c r="E149" s="10">
        <v>329.5</v>
      </c>
      <c r="F149" s="10">
        <v>3.03</v>
      </c>
      <c r="G149" s="9">
        <f t="shared" si="17"/>
        <v>42.927350000000018</v>
      </c>
      <c r="H149" s="11" t="s">
        <v>581</v>
      </c>
      <c r="I149" s="8"/>
      <c r="L149">
        <f t="shared" si="16"/>
        <v>329.5</v>
      </c>
      <c r="M149" s="6"/>
      <c r="R149" s="7"/>
      <c r="S149" s="7"/>
    </row>
    <row r="150" spans="1:19" ht="28" x14ac:dyDescent="0.15">
      <c r="A150" s="8">
        <v>149</v>
      </c>
      <c r="B150" s="9" t="s">
        <v>601</v>
      </c>
      <c r="C150" s="9" t="s">
        <v>19</v>
      </c>
      <c r="D150" s="10">
        <v>324.62</v>
      </c>
      <c r="E150" s="10">
        <v>333.12</v>
      </c>
      <c r="F150" s="10">
        <v>3.61</v>
      </c>
      <c r="G150" s="9">
        <f t="shared" si="17"/>
        <v>43.260470000000019</v>
      </c>
      <c r="H150" s="11" t="s">
        <v>581</v>
      </c>
      <c r="I150" s="8"/>
      <c r="K150" s="7">
        <f t="shared" ref="K150:K151" si="18">D150+8.5</f>
        <v>333.12</v>
      </c>
      <c r="L150">
        <f t="shared" si="16"/>
        <v>333.12</v>
      </c>
      <c r="M150" s="6"/>
      <c r="R150" s="7"/>
      <c r="S150" s="7"/>
    </row>
    <row r="151" spans="1:19" ht="28" x14ac:dyDescent="0.15">
      <c r="A151" s="8">
        <v>150</v>
      </c>
      <c r="B151" s="9" t="s">
        <v>602</v>
      </c>
      <c r="C151" s="9" t="s">
        <v>14</v>
      </c>
      <c r="D151" s="10">
        <v>354.73</v>
      </c>
      <c r="E151" s="10">
        <v>363.23</v>
      </c>
      <c r="F151" s="10">
        <v>86.11</v>
      </c>
      <c r="G151" s="9">
        <f t="shared" si="17"/>
        <v>43.623700000000021</v>
      </c>
      <c r="H151" s="11" t="s">
        <v>581</v>
      </c>
      <c r="I151" s="8"/>
      <c r="K151" s="7">
        <f t="shared" si="18"/>
        <v>363.23</v>
      </c>
      <c r="L151">
        <f t="shared" si="16"/>
        <v>363.23</v>
      </c>
      <c r="M151" s="6"/>
      <c r="R151" s="7"/>
      <c r="S151" s="7"/>
    </row>
    <row r="152" spans="1:19" ht="28" x14ac:dyDescent="0.15">
      <c r="A152" s="8">
        <v>151</v>
      </c>
      <c r="B152" s="9" t="s">
        <v>603</v>
      </c>
      <c r="C152" s="9" t="s">
        <v>23</v>
      </c>
      <c r="D152" s="10">
        <v>345.82</v>
      </c>
      <c r="E152" s="10">
        <v>345.82</v>
      </c>
      <c r="F152" s="10">
        <v>2.0099999999999998</v>
      </c>
      <c r="G152" s="9">
        <f t="shared" si="17"/>
        <v>43.969520000000024</v>
      </c>
      <c r="H152" s="11" t="s">
        <v>581</v>
      </c>
      <c r="I152" s="8"/>
      <c r="L152">
        <f t="shared" si="16"/>
        <v>345.82</v>
      </c>
      <c r="M152" s="6"/>
      <c r="R152" s="7"/>
      <c r="S152" s="7"/>
    </row>
    <row r="153" spans="1:19" ht="28" x14ac:dyDescent="0.15">
      <c r="A153" s="8">
        <v>152</v>
      </c>
      <c r="B153" s="9" t="s">
        <v>604</v>
      </c>
      <c r="C153" s="9" t="s">
        <v>23</v>
      </c>
      <c r="D153" s="10">
        <v>352.78</v>
      </c>
      <c r="E153" s="10">
        <v>352.78</v>
      </c>
      <c r="F153" s="10">
        <v>1.47</v>
      </c>
      <c r="G153" s="9">
        <f t="shared" si="17"/>
        <v>44.322300000000027</v>
      </c>
      <c r="H153" s="11" t="s">
        <v>581</v>
      </c>
      <c r="I153" s="8"/>
      <c r="L153">
        <f t="shared" si="16"/>
        <v>352.78</v>
      </c>
      <c r="M153" s="6"/>
      <c r="R153" s="7"/>
      <c r="S153" s="7"/>
    </row>
    <row r="154" spans="1:19" ht="28" x14ac:dyDescent="0.15">
      <c r="A154" s="8">
        <v>153</v>
      </c>
      <c r="B154" s="9" t="s">
        <v>605</v>
      </c>
      <c r="C154" s="9" t="s">
        <v>23</v>
      </c>
      <c r="D154" s="10">
        <v>283.54000000000002</v>
      </c>
      <c r="E154" s="10">
        <v>283.54000000000002</v>
      </c>
      <c r="F154" s="10">
        <v>0.71</v>
      </c>
      <c r="G154" s="9">
        <f t="shared" si="17"/>
        <v>44.605840000000029</v>
      </c>
      <c r="H154" s="11" t="s">
        <v>581</v>
      </c>
      <c r="I154" s="8"/>
      <c r="L154">
        <f t="shared" si="16"/>
        <v>283.54000000000002</v>
      </c>
      <c r="M154" s="6"/>
      <c r="R154" s="7"/>
      <c r="S154" s="7"/>
    </row>
    <row r="155" spans="1:19" ht="28" x14ac:dyDescent="0.15">
      <c r="A155" s="8">
        <v>154</v>
      </c>
      <c r="B155" s="9" t="s">
        <v>606</v>
      </c>
      <c r="C155" s="9" t="s">
        <v>23</v>
      </c>
      <c r="D155" s="10">
        <v>351.36</v>
      </c>
      <c r="E155" s="10">
        <v>351.36</v>
      </c>
      <c r="F155" s="10">
        <v>0.49</v>
      </c>
      <c r="G155" s="9">
        <f t="shared" si="17"/>
        <v>44.957200000000029</v>
      </c>
      <c r="H155" s="11" t="s">
        <v>581</v>
      </c>
      <c r="I155" s="8"/>
      <c r="L155">
        <f t="shared" si="16"/>
        <v>351.36</v>
      </c>
      <c r="M155" s="6"/>
      <c r="R155" s="7"/>
      <c r="S155" s="7"/>
    </row>
    <row r="156" spans="1:19" ht="28" x14ac:dyDescent="0.15">
      <c r="A156" s="8">
        <v>155</v>
      </c>
      <c r="B156" s="9" t="s">
        <v>607</v>
      </c>
      <c r="C156" s="9" t="s">
        <v>23</v>
      </c>
      <c r="D156" s="10">
        <v>295.87</v>
      </c>
      <c r="E156" s="10">
        <v>295.87</v>
      </c>
      <c r="F156" s="10">
        <v>0.84</v>
      </c>
      <c r="G156" s="9">
        <f t="shared" si="17"/>
        <v>45.253070000000029</v>
      </c>
      <c r="H156" s="11" t="s">
        <v>581</v>
      </c>
      <c r="I156" s="8"/>
      <c r="L156">
        <f t="shared" si="16"/>
        <v>295.87</v>
      </c>
      <c r="M156" s="6"/>
      <c r="R156" s="7"/>
      <c r="S156" s="7"/>
    </row>
    <row r="157" spans="1:19" ht="28" x14ac:dyDescent="0.15">
      <c r="A157" s="8">
        <v>156</v>
      </c>
      <c r="B157" s="9" t="s">
        <v>608</v>
      </c>
      <c r="C157" s="9" t="s">
        <v>23</v>
      </c>
      <c r="D157" s="10">
        <v>308.39999999999998</v>
      </c>
      <c r="E157" s="10">
        <v>308.39999999999998</v>
      </c>
      <c r="F157" s="10">
        <v>1.98</v>
      </c>
      <c r="G157" s="9">
        <f t="shared" si="17"/>
        <v>45.561470000000028</v>
      </c>
      <c r="H157" s="11" t="s">
        <v>581</v>
      </c>
      <c r="I157" s="8"/>
      <c r="L157">
        <f t="shared" si="16"/>
        <v>308.39999999999998</v>
      </c>
      <c r="M157" s="6"/>
      <c r="R157" s="7"/>
      <c r="S157" s="7"/>
    </row>
    <row r="158" spans="1:19" ht="28" x14ac:dyDescent="0.15">
      <c r="A158" s="8">
        <v>157</v>
      </c>
      <c r="B158" s="9" t="s">
        <v>609</v>
      </c>
      <c r="C158" s="9" t="s">
        <v>16</v>
      </c>
      <c r="D158" s="10">
        <v>305.64</v>
      </c>
      <c r="E158" s="10">
        <v>305.64</v>
      </c>
      <c r="F158" s="10">
        <v>1.7</v>
      </c>
      <c r="G158" s="9">
        <f t="shared" si="17"/>
        <v>45.867110000000025</v>
      </c>
      <c r="H158" s="11" t="s">
        <v>581</v>
      </c>
      <c r="I158" s="8"/>
      <c r="L158">
        <f t="shared" si="16"/>
        <v>305.64</v>
      </c>
      <c r="M158" s="6"/>
      <c r="R158" s="7"/>
      <c r="S158" s="7"/>
    </row>
    <row r="159" spans="1:19" ht="28" x14ac:dyDescent="0.15">
      <c r="A159" s="8">
        <v>158</v>
      </c>
      <c r="B159" s="9" t="s">
        <v>610</v>
      </c>
      <c r="C159" s="9" t="s">
        <v>28</v>
      </c>
      <c r="D159" s="10">
        <v>262.62</v>
      </c>
      <c r="E159" s="10">
        <v>271.12</v>
      </c>
      <c r="F159" s="10">
        <v>17.38</v>
      </c>
      <c r="G159" s="9">
        <f t="shared" si="17"/>
        <v>46.138230000000028</v>
      </c>
      <c r="H159" s="11" t="s">
        <v>581</v>
      </c>
      <c r="I159" s="8"/>
      <c r="K159" s="7">
        <f>D159+8.5</f>
        <v>271.12</v>
      </c>
      <c r="L159">
        <f t="shared" si="16"/>
        <v>271.12</v>
      </c>
      <c r="M159" s="6"/>
      <c r="R159" s="7"/>
      <c r="S159" s="7"/>
    </row>
    <row r="160" spans="1:19" ht="28" x14ac:dyDescent="0.15">
      <c r="A160" s="8">
        <v>159</v>
      </c>
      <c r="B160" s="9" t="s">
        <v>611</v>
      </c>
      <c r="C160" s="9" t="s">
        <v>16</v>
      </c>
      <c r="D160" s="10">
        <v>300.49</v>
      </c>
      <c r="E160" s="10">
        <v>300.49</v>
      </c>
      <c r="F160" s="10">
        <v>6.18</v>
      </c>
      <c r="G160" s="9">
        <f t="shared" si="17"/>
        <v>46.438720000000032</v>
      </c>
      <c r="H160" s="11" t="s">
        <v>581</v>
      </c>
      <c r="I160" s="8"/>
      <c r="L160">
        <f t="shared" si="16"/>
        <v>300.49</v>
      </c>
      <c r="M160" s="6"/>
      <c r="R160" s="7"/>
      <c r="S160" s="7"/>
    </row>
    <row r="161" spans="1:19" ht="28" x14ac:dyDescent="0.15">
      <c r="A161" s="8">
        <v>160</v>
      </c>
      <c r="B161" s="9" t="s">
        <v>612</v>
      </c>
      <c r="C161" s="9" t="s">
        <v>28</v>
      </c>
      <c r="D161" s="10">
        <v>170.71</v>
      </c>
      <c r="E161" s="10">
        <v>179.21</v>
      </c>
      <c r="F161" s="10">
        <v>14.91</v>
      </c>
      <c r="G161" s="9">
        <f t="shared" si="17"/>
        <v>46.61793000000003</v>
      </c>
      <c r="H161" s="11" t="s">
        <v>581</v>
      </c>
      <c r="I161" s="8"/>
      <c r="K161" s="7">
        <f t="shared" ref="K161:K165" si="19">D161+8.5</f>
        <v>179.21</v>
      </c>
      <c r="L161">
        <f t="shared" si="16"/>
        <v>179.21</v>
      </c>
      <c r="M161" s="6"/>
      <c r="R161" s="7"/>
      <c r="S161" s="7"/>
    </row>
    <row r="162" spans="1:19" ht="28" x14ac:dyDescent="0.15">
      <c r="A162" s="8">
        <v>161</v>
      </c>
      <c r="B162" s="9" t="s">
        <v>613</v>
      </c>
      <c r="C162" s="9" t="s">
        <v>19</v>
      </c>
      <c r="D162" s="10">
        <v>130.81</v>
      </c>
      <c r="E162" s="10">
        <v>139.31</v>
      </c>
      <c r="F162" s="10">
        <v>41.23</v>
      </c>
      <c r="G162" s="9">
        <f t="shared" si="17"/>
        <v>46.757240000000031</v>
      </c>
      <c r="H162" s="11" t="s">
        <v>581</v>
      </c>
      <c r="I162" s="8"/>
      <c r="K162" s="7">
        <f t="shared" si="19"/>
        <v>139.31</v>
      </c>
      <c r="L162">
        <f t="shared" si="16"/>
        <v>139.31</v>
      </c>
      <c r="M162" s="6"/>
      <c r="R162" s="7"/>
      <c r="S162" s="7"/>
    </row>
    <row r="163" spans="1:19" ht="28" x14ac:dyDescent="0.15">
      <c r="A163" s="8">
        <v>162</v>
      </c>
      <c r="B163" s="9" t="s">
        <v>614</v>
      </c>
      <c r="C163" s="9" t="s">
        <v>19</v>
      </c>
      <c r="D163" s="10">
        <v>296.61</v>
      </c>
      <c r="E163" s="10">
        <v>305.11</v>
      </c>
      <c r="F163" s="10">
        <v>49.61</v>
      </c>
      <c r="G163" s="9">
        <f t="shared" si="17"/>
        <v>47.062350000000031</v>
      </c>
      <c r="H163" s="11" t="s">
        <v>581</v>
      </c>
      <c r="I163" s="8"/>
      <c r="K163" s="7">
        <f t="shared" si="19"/>
        <v>305.11</v>
      </c>
      <c r="L163">
        <f t="shared" si="16"/>
        <v>305.11</v>
      </c>
      <c r="M163" s="6"/>
      <c r="R163" s="7"/>
      <c r="S163" s="7"/>
    </row>
    <row r="164" spans="1:19" ht="28" x14ac:dyDescent="0.15">
      <c r="A164" s="8">
        <v>163</v>
      </c>
      <c r="B164" s="9" t="s">
        <v>615</v>
      </c>
      <c r="C164" s="9" t="s">
        <v>19</v>
      </c>
      <c r="D164" s="10">
        <v>184.96</v>
      </c>
      <c r="E164" s="10">
        <v>193.46</v>
      </c>
      <c r="F164" s="10">
        <v>16.46</v>
      </c>
      <c r="G164" s="9">
        <f t="shared" si="17"/>
        <v>47.255810000000032</v>
      </c>
      <c r="H164" s="11" t="s">
        <v>581</v>
      </c>
      <c r="I164" s="8"/>
      <c r="K164" s="7">
        <f t="shared" si="19"/>
        <v>193.46</v>
      </c>
      <c r="L164">
        <f t="shared" si="16"/>
        <v>193.46</v>
      </c>
      <c r="M164" s="6"/>
      <c r="R164" s="7"/>
      <c r="S164" s="7"/>
    </row>
    <row r="165" spans="1:19" ht="28" x14ac:dyDescent="0.15">
      <c r="A165" s="8">
        <v>164</v>
      </c>
      <c r="B165" s="9" t="s">
        <v>616</v>
      </c>
      <c r="C165" s="9" t="s">
        <v>19</v>
      </c>
      <c r="D165" s="10">
        <v>189.21</v>
      </c>
      <c r="E165" s="10">
        <v>197.71</v>
      </c>
      <c r="F165" s="10">
        <v>3.26</v>
      </c>
      <c r="G165" s="9">
        <f t="shared" si="17"/>
        <v>47.453520000000033</v>
      </c>
      <c r="H165" s="11" t="s">
        <v>581</v>
      </c>
      <c r="I165" s="8"/>
      <c r="K165" s="7">
        <f t="shared" si="19"/>
        <v>197.71</v>
      </c>
      <c r="L165">
        <f t="shared" si="16"/>
        <v>197.71</v>
      </c>
      <c r="M165" s="6"/>
      <c r="R165" s="7"/>
      <c r="S165" s="7"/>
    </row>
    <row r="166" spans="1:19" ht="28" x14ac:dyDescent="0.15">
      <c r="A166" s="8">
        <v>165</v>
      </c>
      <c r="B166" s="9" t="s">
        <v>617</v>
      </c>
      <c r="C166" s="9" t="s">
        <v>16</v>
      </c>
      <c r="D166" s="10">
        <v>254.31</v>
      </c>
      <c r="E166" s="10">
        <v>254.31</v>
      </c>
      <c r="F166" s="10">
        <v>2.58</v>
      </c>
      <c r="G166" s="9">
        <f t="shared" si="17"/>
        <v>47.70783000000003</v>
      </c>
      <c r="H166" s="11" t="s">
        <v>581</v>
      </c>
      <c r="I166" s="8"/>
      <c r="L166">
        <f t="shared" si="16"/>
        <v>254.31</v>
      </c>
      <c r="M166" s="6"/>
      <c r="R166" s="7"/>
      <c r="S166" s="7"/>
    </row>
    <row r="167" spans="1:19" ht="28" x14ac:dyDescent="0.15">
      <c r="A167" s="8">
        <v>166</v>
      </c>
      <c r="B167" s="9" t="s">
        <v>618</v>
      </c>
      <c r="C167" s="9" t="s">
        <v>19</v>
      </c>
      <c r="D167" s="10">
        <v>315.41000000000003</v>
      </c>
      <c r="E167" s="10">
        <v>323.91000000000003</v>
      </c>
      <c r="F167" s="10">
        <v>34.21</v>
      </c>
      <c r="G167" s="9">
        <f t="shared" si="17"/>
        <v>48.031740000000028</v>
      </c>
      <c r="H167" s="11" t="s">
        <v>581</v>
      </c>
      <c r="I167" s="8"/>
      <c r="K167" s="7">
        <f>D167+8.5</f>
        <v>323.91000000000003</v>
      </c>
      <c r="L167">
        <f t="shared" si="16"/>
        <v>323.91000000000003</v>
      </c>
      <c r="M167" s="6"/>
      <c r="R167" s="7"/>
      <c r="S167" s="7"/>
    </row>
    <row r="168" spans="1:19" ht="28" x14ac:dyDescent="0.15">
      <c r="A168" s="8">
        <v>167</v>
      </c>
      <c r="B168" s="9" t="s">
        <v>619</v>
      </c>
      <c r="C168" s="9" t="s">
        <v>23</v>
      </c>
      <c r="D168" s="10">
        <v>365.23</v>
      </c>
      <c r="E168" s="10">
        <v>365.23</v>
      </c>
      <c r="F168" s="10">
        <v>0.45</v>
      </c>
      <c r="G168" s="9">
        <f t="shared" si="17"/>
        <v>48.396970000000024</v>
      </c>
      <c r="H168" s="11" t="s">
        <v>581</v>
      </c>
      <c r="I168" s="8"/>
      <c r="L168">
        <f t="shared" si="16"/>
        <v>365.23</v>
      </c>
      <c r="M168" s="6"/>
      <c r="R168" s="7"/>
      <c r="S168" s="7"/>
    </row>
    <row r="169" spans="1:19" ht="28" x14ac:dyDescent="0.15">
      <c r="A169" s="8">
        <v>168</v>
      </c>
      <c r="B169" s="9" t="s">
        <v>620</v>
      </c>
      <c r="C169" s="9" t="s">
        <v>23</v>
      </c>
      <c r="D169" s="10">
        <v>368.79</v>
      </c>
      <c r="E169" s="10">
        <v>368.79</v>
      </c>
      <c r="F169" s="10">
        <v>1.41</v>
      </c>
      <c r="G169" s="9">
        <f t="shared" si="17"/>
        <v>48.765760000000022</v>
      </c>
      <c r="H169" s="11" t="s">
        <v>581</v>
      </c>
      <c r="I169" s="8"/>
      <c r="L169">
        <f t="shared" si="16"/>
        <v>368.79</v>
      </c>
      <c r="M169" s="6"/>
      <c r="R169" s="7"/>
      <c r="S169" s="7"/>
    </row>
    <row r="170" spans="1:19" ht="28" x14ac:dyDescent="0.15">
      <c r="A170" s="8">
        <v>169</v>
      </c>
      <c r="B170" s="9" t="s">
        <v>621</v>
      </c>
      <c r="C170" s="9" t="s">
        <v>23</v>
      </c>
      <c r="D170" s="10">
        <v>324.29000000000002</v>
      </c>
      <c r="E170" s="10">
        <v>324.29000000000002</v>
      </c>
      <c r="F170" s="10">
        <v>0.19</v>
      </c>
      <c r="G170" s="9">
        <f t="shared" si="17"/>
        <v>49.090050000000019</v>
      </c>
      <c r="H170" s="11" t="s">
        <v>581</v>
      </c>
      <c r="I170" s="8"/>
      <c r="L170">
        <f t="shared" si="16"/>
        <v>324.29000000000002</v>
      </c>
      <c r="M170" s="6"/>
      <c r="R170" s="7"/>
      <c r="S170" s="7"/>
    </row>
    <row r="171" spans="1:19" ht="28" x14ac:dyDescent="0.15">
      <c r="A171" s="8">
        <v>170</v>
      </c>
      <c r="B171" s="9" t="s">
        <v>622</v>
      </c>
      <c r="C171" s="9" t="s">
        <v>23</v>
      </c>
      <c r="D171" s="10">
        <v>362.76</v>
      </c>
      <c r="E171" s="10">
        <v>362.76</v>
      </c>
      <c r="F171" s="10">
        <v>0.47</v>
      </c>
      <c r="G171" s="9">
        <f t="shared" si="17"/>
        <v>49.452810000000021</v>
      </c>
      <c r="H171" s="11" t="s">
        <v>581</v>
      </c>
      <c r="I171" s="8"/>
      <c r="L171">
        <f t="shared" si="16"/>
        <v>362.76</v>
      </c>
      <c r="M171" s="6"/>
      <c r="R171" s="7"/>
      <c r="S171" s="7"/>
    </row>
    <row r="172" spans="1:19" ht="28" x14ac:dyDescent="0.15">
      <c r="A172" s="8">
        <v>171</v>
      </c>
      <c r="B172" s="9" t="s">
        <v>623</v>
      </c>
      <c r="C172" s="9" t="s">
        <v>23</v>
      </c>
      <c r="D172" s="10">
        <v>352.34</v>
      </c>
      <c r="E172" s="10">
        <v>352.34</v>
      </c>
      <c r="F172" s="10">
        <v>0.1</v>
      </c>
      <c r="G172" s="9">
        <f t="shared" si="17"/>
        <v>49.805150000000019</v>
      </c>
      <c r="H172" s="11" t="s">
        <v>581</v>
      </c>
      <c r="I172" s="8"/>
      <c r="L172">
        <f t="shared" si="16"/>
        <v>352.34</v>
      </c>
      <c r="M172" s="6"/>
      <c r="R172" s="7"/>
      <c r="S172" s="7"/>
    </row>
    <row r="173" spans="1:19" ht="28" x14ac:dyDescent="0.15">
      <c r="A173" s="8">
        <v>172</v>
      </c>
      <c r="B173" s="9" t="s">
        <v>624</v>
      </c>
      <c r="C173" s="9" t="s">
        <v>16</v>
      </c>
      <c r="D173" s="10">
        <v>348.21</v>
      </c>
      <c r="E173" s="10">
        <v>348.21</v>
      </c>
      <c r="F173" s="10">
        <v>0.67</v>
      </c>
      <c r="G173" s="9">
        <f t="shared" si="17"/>
        <v>50.153360000000021</v>
      </c>
      <c r="H173" s="11" t="s">
        <v>581</v>
      </c>
      <c r="I173" s="8"/>
      <c r="L173">
        <f t="shared" si="16"/>
        <v>348.21</v>
      </c>
      <c r="M173" s="6"/>
      <c r="R173" s="7"/>
      <c r="S173" s="7"/>
    </row>
    <row r="174" spans="1:19" ht="28" x14ac:dyDescent="0.15">
      <c r="A174" s="8">
        <v>173</v>
      </c>
      <c r="B174" s="9" t="s">
        <v>625</v>
      </c>
      <c r="C174" s="9" t="s">
        <v>23</v>
      </c>
      <c r="D174" s="10">
        <v>237.12</v>
      </c>
      <c r="E174" s="10">
        <v>237.12</v>
      </c>
      <c r="F174" s="10">
        <v>2.1800000000000002</v>
      </c>
      <c r="G174" s="9">
        <f t="shared" si="17"/>
        <v>50.390480000000018</v>
      </c>
      <c r="H174" s="11" t="s">
        <v>581</v>
      </c>
      <c r="I174" s="8"/>
      <c r="L174">
        <f t="shared" si="16"/>
        <v>237.12</v>
      </c>
      <c r="M174" s="6"/>
      <c r="R174" s="7"/>
      <c r="S174" s="7"/>
    </row>
    <row r="175" spans="1:19" ht="28" x14ac:dyDescent="0.15">
      <c r="A175" s="8">
        <v>174</v>
      </c>
      <c r="B175" s="9" t="s">
        <v>626</v>
      </c>
      <c r="C175" s="9" t="s">
        <v>23</v>
      </c>
      <c r="D175" s="10">
        <v>334.98</v>
      </c>
      <c r="E175" s="10">
        <v>334.98</v>
      </c>
      <c r="F175" s="10">
        <v>1.24</v>
      </c>
      <c r="G175" s="9">
        <f t="shared" si="17"/>
        <v>50.72546000000002</v>
      </c>
      <c r="H175" s="11" t="s">
        <v>581</v>
      </c>
      <c r="I175" s="8"/>
      <c r="L175">
        <f t="shared" si="16"/>
        <v>334.98</v>
      </c>
      <c r="M175" s="6"/>
      <c r="R175" s="7"/>
      <c r="S175" s="7"/>
    </row>
    <row r="176" spans="1:19" ht="28" x14ac:dyDescent="0.15">
      <c r="A176" s="8">
        <v>175</v>
      </c>
      <c r="B176" s="9" t="s">
        <v>627</v>
      </c>
      <c r="C176" s="9" t="s">
        <v>23</v>
      </c>
      <c r="D176" s="10">
        <v>349.78</v>
      </c>
      <c r="E176" s="10">
        <v>349.78</v>
      </c>
      <c r="F176" s="10">
        <v>0.12</v>
      </c>
      <c r="G176" s="9">
        <f t="shared" si="17"/>
        <v>51.075240000000022</v>
      </c>
      <c r="H176" s="11" t="s">
        <v>581</v>
      </c>
      <c r="I176" s="8"/>
      <c r="L176">
        <f t="shared" si="16"/>
        <v>349.78</v>
      </c>
      <c r="M176" s="6"/>
      <c r="R176" s="7"/>
      <c r="S176" s="7"/>
    </row>
    <row r="177" spans="1:19" ht="28" x14ac:dyDescent="0.15">
      <c r="A177" s="8">
        <v>176</v>
      </c>
      <c r="B177" s="9" t="s">
        <v>628</v>
      </c>
      <c r="C177" s="9" t="s">
        <v>16</v>
      </c>
      <c r="D177" s="10">
        <v>292.31</v>
      </c>
      <c r="E177" s="10">
        <v>292.31</v>
      </c>
      <c r="F177" s="10">
        <v>8.35</v>
      </c>
      <c r="G177" s="9">
        <f t="shared" si="17"/>
        <v>51.367550000000023</v>
      </c>
      <c r="H177" s="11" t="s">
        <v>581</v>
      </c>
      <c r="I177" s="8"/>
      <c r="L177">
        <f t="shared" si="16"/>
        <v>292.31</v>
      </c>
      <c r="M177" s="6"/>
      <c r="R177" s="7"/>
      <c r="S177" s="7"/>
    </row>
    <row r="178" spans="1:19" ht="28" x14ac:dyDescent="0.15">
      <c r="A178" s="8">
        <v>177</v>
      </c>
      <c r="B178" s="9" t="s">
        <v>629</v>
      </c>
      <c r="C178" s="9" t="s">
        <v>23</v>
      </c>
      <c r="D178" s="10">
        <v>319.88</v>
      </c>
      <c r="E178" s="10">
        <v>319.88</v>
      </c>
      <c r="F178" s="10">
        <v>0.4</v>
      </c>
      <c r="G178" s="9">
        <f t="shared" si="17"/>
        <v>51.68743000000002</v>
      </c>
      <c r="H178" s="11" t="s">
        <v>581</v>
      </c>
      <c r="I178" s="8"/>
      <c r="L178">
        <f t="shared" si="16"/>
        <v>319.88</v>
      </c>
      <c r="M178" s="6"/>
      <c r="R178" s="7"/>
      <c r="S178" s="7"/>
    </row>
    <row r="179" spans="1:19" ht="28" x14ac:dyDescent="0.15">
      <c r="A179" s="8">
        <v>178</v>
      </c>
      <c r="B179" s="9" t="s">
        <v>630</v>
      </c>
      <c r="C179" s="9" t="s">
        <v>23</v>
      </c>
      <c r="D179" s="10">
        <v>303.29000000000002</v>
      </c>
      <c r="E179" s="10">
        <v>303.29000000000002</v>
      </c>
      <c r="F179" s="10">
        <v>0.3</v>
      </c>
      <c r="G179" s="9">
        <f t="shared" si="17"/>
        <v>51.990720000000017</v>
      </c>
      <c r="H179" s="11" t="s">
        <v>581</v>
      </c>
      <c r="I179" s="8"/>
      <c r="L179">
        <f t="shared" si="16"/>
        <v>303.29000000000002</v>
      </c>
      <c r="M179" s="6"/>
      <c r="R179" s="7"/>
      <c r="S179" s="7"/>
    </row>
    <row r="180" spans="1:19" ht="28" x14ac:dyDescent="0.15">
      <c r="A180" s="8">
        <v>179</v>
      </c>
      <c r="B180" s="9" t="s">
        <v>631</v>
      </c>
      <c r="C180" s="9" t="s">
        <v>14</v>
      </c>
      <c r="D180" s="10">
        <v>43.73</v>
      </c>
      <c r="E180" s="10">
        <v>52.23</v>
      </c>
      <c r="F180" s="10">
        <v>34.97</v>
      </c>
      <c r="G180" s="9">
        <f t="shared" si="17"/>
        <v>52.042950000000019</v>
      </c>
      <c r="H180" s="11" t="s">
        <v>581</v>
      </c>
      <c r="I180" s="8"/>
      <c r="K180" s="7">
        <f>D180+8.5</f>
        <v>52.23</v>
      </c>
      <c r="L180">
        <f t="shared" si="16"/>
        <v>52.23</v>
      </c>
      <c r="M180" s="6"/>
      <c r="R180" s="7"/>
      <c r="S180" s="7"/>
    </row>
    <row r="181" spans="1:19" ht="28" x14ac:dyDescent="0.15">
      <c r="A181" s="8">
        <v>180</v>
      </c>
      <c r="B181" s="9" t="s">
        <v>632</v>
      </c>
      <c r="C181" s="9" t="s">
        <v>10</v>
      </c>
      <c r="D181" s="10">
        <v>72.48</v>
      </c>
      <c r="E181" s="10">
        <v>72.48</v>
      </c>
      <c r="F181" s="10">
        <v>11.11</v>
      </c>
      <c r="G181" s="9">
        <f t="shared" si="17"/>
        <v>52.115430000000018</v>
      </c>
      <c r="H181" s="11" t="s">
        <v>581</v>
      </c>
      <c r="I181" s="8"/>
      <c r="L181">
        <f t="shared" si="16"/>
        <v>72.48</v>
      </c>
      <c r="M181" s="6"/>
      <c r="R181" s="7"/>
      <c r="S181" s="7"/>
    </row>
    <row r="182" spans="1:19" ht="28" x14ac:dyDescent="0.15">
      <c r="A182" s="8">
        <v>181</v>
      </c>
      <c r="B182" s="9" t="s">
        <v>633</v>
      </c>
      <c r="C182" s="9" t="s">
        <v>10</v>
      </c>
      <c r="D182" s="10">
        <v>38.86</v>
      </c>
      <c r="E182" s="10">
        <v>38.86</v>
      </c>
      <c r="F182" s="10">
        <v>18.190000000000001</v>
      </c>
      <c r="G182" s="9">
        <f t="shared" si="17"/>
        <v>52.154290000000017</v>
      </c>
      <c r="H182" s="11" t="s">
        <v>581</v>
      </c>
      <c r="I182" s="8"/>
      <c r="L182">
        <f t="shared" si="16"/>
        <v>38.86</v>
      </c>
      <c r="M182" s="6"/>
      <c r="R182" s="7"/>
      <c r="S182" s="7"/>
    </row>
    <row r="183" spans="1:19" ht="28" x14ac:dyDescent="0.15">
      <c r="A183" s="8">
        <v>182</v>
      </c>
      <c r="B183" s="9" t="s">
        <v>634</v>
      </c>
      <c r="C183" s="9" t="s">
        <v>19</v>
      </c>
      <c r="D183" s="10">
        <v>199.53</v>
      </c>
      <c r="E183" s="10">
        <v>208.03</v>
      </c>
      <c r="F183" s="10">
        <v>51.92</v>
      </c>
      <c r="G183" s="9">
        <f t="shared" si="17"/>
        <v>52.362320000000018</v>
      </c>
      <c r="H183" s="11" t="s">
        <v>581</v>
      </c>
      <c r="I183" s="8"/>
      <c r="K183" s="7">
        <f>D183+8.5</f>
        <v>208.03</v>
      </c>
      <c r="L183">
        <f t="shared" si="16"/>
        <v>208.03</v>
      </c>
      <c r="M183" s="6"/>
      <c r="R183" s="7"/>
      <c r="S183" s="7"/>
    </row>
    <row r="184" spans="1:19" ht="28" x14ac:dyDescent="0.15">
      <c r="A184" s="8">
        <v>183</v>
      </c>
      <c r="B184" s="9" t="s">
        <v>635</v>
      </c>
      <c r="C184" s="9" t="s">
        <v>16</v>
      </c>
      <c r="D184" s="10">
        <v>303.35000000000002</v>
      </c>
      <c r="E184" s="10">
        <v>303.35000000000002</v>
      </c>
      <c r="F184" s="10">
        <v>10.02</v>
      </c>
      <c r="G184" s="9">
        <f t="shared" si="17"/>
        <v>52.66567000000002</v>
      </c>
      <c r="H184" s="11" t="s">
        <v>581</v>
      </c>
      <c r="I184" s="8"/>
      <c r="L184">
        <f t="shared" si="16"/>
        <v>303.35000000000002</v>
      </c>
      <c r="M184" s="6"/>
      <c r="R184" s="7"/>
      <c r="S184" s="7"/>
    </row>
    <row r="185" spans="1:19" ht="28" x14ac:dyDescent="0.15">
      <c r="A185" s="8">
        <v>184</v>
      </c>
      <c r="B185" s="9" t="s">
        <v>636</v>
      </c>
      <c r="C185" s="9" t="s">
        <v>28</v>
      </c>
      <c r="D185" s="10">
        <v>269.76</v>
      </c>
      <c r="E185" s="10">
        <v>278.26</v>
      </c>
      <c r="F185" s="10">
        <v>21.39</v>
      </c>
      <c r="G185" s="9">
        <f t="shared" si="17"/>
        <v>52.943930000000023</v>
      </c>
      <c r="H185" s="11" t="s">
        <v>581</v>
      </c>
      <c r="I185" s="8"/>
      <c r="K185" s="7">
        <f>D185+8.5</f>
        <v>278.26</v>
      </c>
      <c r="L185">
        <f t="shared" si="16"/>
        <v>278.26</v>
      </c>
      <c r="M185" s="6"/>
      <c r="R185" s="7"/>
      <c r="S185" s="7"/>
    </row>
    <row r="186" spans="1:19" ht="28" x14ac:dyDescent="0.15">
      <c r="A186" s="8">
        <v>185</v>
      </c>
      <c r="B186" s="9" t="s">
        <v>637</v>
      </c>
      <c r="C186" s="9" t="s">
        <v>23</v>
      </c>
      <c r="D186" s="10">
        <v>243.5</v>
      </c>
      <c r="E186" s="10">
        <v>243.5</v>
      </c>
      <c r="F186" s="10">
        <v>0.11</v>
      </c>
      <c r="G186" s="9">
        <f t="shared" si="17"/>
        <v>53.18743000000002</v>
      </c>
      <c r="H186" s="11" t="s">
        <v>581</v>
      </c>
      <c r="I186" s="8"/>
      <c r="L186">
        <f t="shared" si="16"/>
        <v>243.5</v>
      </c>
      <c r="M186" s="6"/>
      <c r="R186" s="7"/>
      <c r="S186" s="7"/>
    </row>
    <row r="187" spans="1:19" ht="28" x14ac:dyDescent="0.15">
      <c r="A187" s="8">
        <v>186</v>
      </c>
      <c r="B187" s="9" t="s">
        <v>638</v>
      </c>
      <c r="C187" s="9" t="s">
        <v>23</v>
      </c>
      <c r="D187" s="10">
        <v>247.16</v>
      </c>
      <c r="E187" s="10">
        <v>247.16</v>
      </c>
      <c r="F187" s="10">
        <v>1.6</v>
      </c>
      <c r="G187" s="9">
        <f t="shared" si="17"/>
        <v>53.434590000000021</v>
      </c>
      <c r="H187" s="11" t="s">
        <v>581</v>
      </c>
      <c r="I187" s="8"/>
      <c r="L187">
        <f t="shared" si="16"/>
        <v>247.16</v>
      </c>
      <c r="M187" s="6"/>
      <c r="R187" s="7"/>
      <c r="S187" s="7"/>
    </row>
    <row r="188" spans="1:19" ht="28" x14ac:dyDescent="0.15">
      <c r="A188" s="8">
        <v>187</v>
      </c>
      <c r="B188" s="9" t="s">
        <v>639</v>
      </c>
      <c r="C188" s="9" t="s">
        <v>19</v>
      </c>
      <c r="D188" s="10">
        <v>242.82</v>
      </c>
      <c r="E188" s="10">
        <v>251.32</v>
      </c>
      <c r="F188" s="10">
        <v>31</v>
      </c>
      <c r="G188" s="9">
        <f t="shared" si="17"/>
        <v>53.685910000000021</v>
      </c>
      <c r="H188" s="11" t="s">
        <v>581</v>
      </c>
      <c r="I188" s="8"/>
      <c r="K188" s="7">
        <f>D188+8.5</f>
        <v>251.32</v>
      </c>
      <c r="L188">
        <f t="shared" si="16"/>
        <v>251.32</v>
      </c>
      <c r="M188" s="6"/>
      <c r="R188" s="7"/>
      <c r="S188" s="7"/>
    </row>
    <row r="189" spans="1:19" ht="28" x14ac:dyDescent="0.15">
      <c r="A189" s="8">
        <v>188</v>
      </c>
      <c r="B189" s="9" t="s">
        <v>640</v>
      </c>
      <c r="C189" s="9" t="s">
        <v>23</v>
      </c>
      <c r="D189" s="10">
        <v>337.95</v>
      </c>
      <c r="E189" s="10">
        <v>337.95</v>
      </c>
      <c r="F189" s="10">
        <v>1.52</v>
      </c>
      <c r="G189" s="9">
        <f t="shared" si="17"/>
        <v>54.02386000000002</v>
      </c>
      <c r="H189" s="11" t="s">
        <v>581</v>
      </c>
      <c r="I189" s="8"/>
      <c r="L189">
        <f t="shared" si="16"/>
        <v>337.95</v>
      </c>
      <c r="M189" s="6"/>
      <c r="R189" s="7"/>
      <c r="S189" s="7"/>
    </row>
    <row r="190" spans="1:19" ht="28" x14ac:dyDescent="0.15">
      <c r="A190" s="8">
        <v>189</v>
      </c>
      <c r="B190" s="9" t="s">
        <v>641</v>
      </c>
      <c r="C190" s="9" t="s">
        <v>23</v>
      </c>
      <c r="D190" s="10">
        <v>322.63</v>
      </c>
      <c r="E190" s="10">
        <v>322.63</v>
      </c>
      <c r="F190" s="10">
        <v>0.33</v>
      </c>
      <c r="G190" s="9">
        <f t="shared" si="17"/>
        <v>54.346490000000017</v>
      </c>
      <c r="H190" s="11" t="s">
        <v>581</v>
      </c>
      <c r="I190" s="8"/>
      <c r="L190">
        <f t="shared" si="16"/>
        <v>322.63</v>
      </c>
      <c r="M190" s="6"/>
      <c r="R190" s="7"/>
      <c r="S190" s="7"/>
    </row>
    <row r="191" spans="1:19" ht="28" x14ac:dyDescent="0.15">
      <c r="A191" s="8">
        <v>190</v>
      </c>
      <c r="B191" s="9" t="s">
        <v>642</v>
      </c>
      <c r="C191" s="9" t="s">
        <v>19</v>
      </c>
      <c r="D191" s="10">
        <v>332.61</v>
      </c>
      <c r="E191" s="10">
        <v>341.11</v>
      </c>
      <c r="F191" s="10">
        <v>53.78</v>
      </c>
      <c r="G191" s="9">
        <f t="shared" si="17"/>
        <v>54.687600000000018</v>
      </c>
      <c r="H191" s="11" t="s">
        <v>581</v>
      </c>
      <c r="I191" s="8"/>
      <c r="K191" s="7">
        <f>D191+8.5</f>
        <v>341.11</v>
      </c>
      <c r="L191">
        <f t="shared" si="16"/>
        <v>341.11</v>
      </c>
      <c r="M191" s="6"/>
      <c r="R191" s="7"/>
      <c r="S191" s="7"/>
    </row>
    <row r="192" spans="1:19" ht="28" x14ac:dyDescent="0.15">
      <c r="A192" s="8">
        <v>191</v>
      </c>
      <c r="B192" s="9" t="s">
        <v>643</v>
      </c>
      <c r="C192" s="9" t="s">
        <v>23</v>
      </c>
      <c r="D192" s="10">
        <v>361.96</v>
      </c>
      <c r="E192" s="10">
        <v>361.96</v>
      </c>
      <c r="F192" s="10">
        <v>1.36</v>
      </c>
      <c r="G192" s="9">
        <f t="shared" si="17"/>
        <v>55.049560000000021</v>
      </c>
      <c r="H192" s="11" t="s">
        <v>581</v>
      </c>
      <c r="I192" s="8"/>
      <c r="L192">
        <f t="shared" si="16"/>
        <v>361.96</v>
      </c>
      <c r="M192" s="6"/>
      <c r="R192" s="7"/>
      <c r="S192" s="7"/>
    </row>
    <row r="193" spans="1:19" ht="28" x14ac:dyDescent="0.15">
      <c r="A193" s="8">
        <v>192</v>
      </c>
      <c r="B193" s="9" t="s">
        <v>644</v>
      </c>
      <c r="C193" s="9" t="s">
        <v>23</v>
      </c>
      <c r="D193" s="10">
        <v>302.32</v>
      </c>
      <c r="E193" s="10">
        <v>302.32</v>
      </c>
      <c r="F193" s="10">
        <v>2.36</v>
      </c>
      <c r="G193" s="9">
        <f t="shared" si="17"/>
        <v>55.351880000000023</v>
      </c>
      <c r="H193" s="11" t="s">
        <v>581</v>
      </c>
      <c r="I193" s="8"/>
      <c r="L193">
        <f t="shared" si="16"/>
        <v>302.32</v>
      </c>
      <c r="M193" s="6"/>
      <c r="R193" s="7"/>
      <c r="S193" s="7"/>
    </row>
    <row r="194" spans="1:19" ht="28" x14ac:dyDescent="0.15">
      <c r="A194" s="8">
        <v>193</v>
      </c>
      <c r="B194" s="9" t="s">
        <v>645</v>
      </c>
      <c r="C194" s="9" t="s">
        <v>16</v>
      </c>
      <c r="D194" s="10">
        <v>349.55</v>
      </c>
      <c r="E194" s="10">
        <v>349.55</v>
      </c>
      <c r="F194" s="10">
        <v>10.49</v>
      </c>
      <c r="G194" s="9">
        <f t="shared" si="17"/>
        <v>55.701430000000023</v>
      </c>
      <c r="H194" s="11" t="s">
        <v>581</v>
      </c>
      <c r="I194" s="8"/>
      <c r="L194">
        <f t="shared" si="16"/>
        <v>349.55</v>
      </c>
      <c r="M194" s="6"/>
      <c r="R194" s="7"/>
      <c r="S194" s="7"/>
    </row>
    <row r="195" spans="1:19" ht="28" x14ac:dyDescent="0.15">
      <c r="A195" s="8">
        <v>194</v>
      </c>
      <c r="B195" s="9" t="s">
        <v>646</v>
      </c>
      <c r="C195" s="9" t="s">
        <v>23</v>
      </c>
      <c r="D195" s="10">
        <v>348.21</v>
      </c>
      <c r="E195" s="10">
        <v>348.21</v>
      </c>
      <c r="F195" s="10">
        <v>0.47</v>
      </c>
      <c r="G195" s="9">
        <f t="shared" si="17"/>
        <v>56.049640000000025</v>
      </c>
      <c r="H195" s="11" t="s">
        <v>581</v>
      </c>
      <c r="I195" s="8"/>
      <c r="L195">
        <f t="shared" ref="L195:L258" si="20">IF(K195&lt;&gt;"",K195,D195)</f>
        <v>348.21</v>
      </c>
      <c r="M195" s="6"/>
      <c r="R195" s="7"/>
      <c r="S195" s="7"/>
    </row>
    <row r="196" spans="1:19" ht="28" x14ac:dyDescent="0.15">
      <c r="A196" s="8">
        <v>195</v>
      </c>
      <c r="B196" s="9" t="s">
        <v>647</v>
      </c>
      <c r="C196" s="9" t="s">
        <v>23</v>
      </c>
      <c r="D196" s="10">
        <v>350.52</v>
      </c>
      <c r="E196" s="10">
        <v>350.52</v>
      </c>
      <c r="F196" s="10">
        <v>1.4</v>
      </c>
      <c r="G196" s="9">
        <f t="shared" ref="G196:G259" si="21">E196/1000+G195</f>
        <v>56.400160000000028</v>
      </c>
      <c r="H196" s="11" t="s">
        <v>581</v>
      </c>
      <c r="I196" s="8"/>
      <c r="L196">
        <f t="shared" si="20"/>
        <v>350.52</v>
      </c>
      <c r="M196" s="6"/>
      <c r="R196" s="7"/>
      <c r="S196" s="7"/>
    </row>
    <row r="197" spans="1:19" ht="28" x14ac:dyDescent="0.15">
      <c r="A197" s="8">
        <v>196</v>
      </c>
      <c r="B197" s="9" t="s">
        <v>648</v>
      </c>
      <c r="C197" s="9" t="s">
        <v>16</v>
      </c>
      <c r="D197" s="10">
        <v>205.22</v>
      </c>
      <c r="E197" s="10">
        <v>205.22</v>
      </c>
      <c r="F197" s="10">
        <v>16.239999999999998</v>
      </c>
      <c r="G197" s="9">
        <f t="shared" si="21"/>
        <v>56.605380000000025</v>
      </c>
      <c r="H197" s="11" t="s">
        <v>581</v>
      </c>
      <c r="I197" s="8"/>
      <c r="L197">
        <f t="shared" si="20"/>
        <v>205.22</v>
      </c>
      <c r="M197" s="6"/>
      <c r="R197" s="7"/>
      <c r="S197" s="7"/>
    </row>
    <row r="198" spans="1:19" ht="28" x14ac:dyDescent="0.15">
      <c r="A198" s="8">
        <v>197</v>
      </c>
      <c r="B198" s="9" t="s">
        <v>649</v>
      </c>
      <c r="C198" s="9" t="s">
        <v>19</v>
      </c>
      <c r="D198" s="10">
        <v>322.52</v>
      </c>
      <c r="E198" s="10">
        <v>331.02</v>
      </c>
      <c r="F198" s="10">
        <v>44.77</v>
      </c>
      <c r="G198" s="9">
        <f t="shared" si="21"/>
        <v>56.936400000000027</v>
      </c>
      <c r="H198" s="11" t="s">
        <v>581</v>
      </c>
      <c r="I198" s="8"/>
      <c r="K198" s="7">
        <f>D198+8.5</f>
        <v>331.02</v>
      </c>
      <c r="L198">
        <f t="shared" si="20"/>
        <v>331.02</v>
      </c>
      <c r="M198" s="6"/>
      <c r="R198" s="7"/>
      <c r="S198" s="7"/>
    </row>
    <row r="199" spans="1:19" ht="28" x14ac:dyDescent="0.15">
      <c r="A199" s="8">
        <v>198</v>
      </c>
      <c r="B199" s="9" t="s">
        <v>650</v>
      </c>
      <c r="C199" s="9" t="s">
        <v>16</v>
      </c>
      <c r="D199" s="10">
        <v>236.68</v>
      </c>
      <c r="E199" s="10">
        <v>236.68</v>
      </c>
      <c r="F199" s="10">
        <v>0.21</v>
      </c>
      <c r="G199" s="9">
        <f t="shared" si="21"/>
        <v>57.173080000000027</v>
      </c>
      <c r="H199" s="11" t="s">
        <v>581</v>
      </c>
      <c r="I199" s="8"/>
      <c r="L199">
        <f t="shared" si="20"/>
        <v>236.68</v>
      </c>
      <c r="M199" s="6"/>
      <c r="R199" s="7"/>
      <c r="S199" s="7"/>
    </row>
    <row r="200" spans="1:19" ht="28" x14ac:dyDescent="0.15">
      <c r="A200" s="8">
        <v>199</v>
      </c>
      <c r="B200" s="9" t="s">
        <v>651</v>
      </c>
      <c r="C200" s="9" t="s">
        <v>14</v>
      </c>
      <c r="D200" s="10">
        <v>367.59</v>
      </c>
      <c r="E200" s="10">
        <v>376.09</v>
      </c>
      <c r="F200" s="10">
        <v>60.58</v>
      </c>
      <c r="G200" s="9">
        <f t="shared" si="21"/>
        <v>57.549170000000025</v>
      </c>
      <c r="H200" s="11" t="s">
        <v>581</v>
      </c>
      <c r="I200" s="8"/>
      <c r="K200" s="7">
        <f t="shared" ref="K200:K205" si="22">D200+8.5</f>
        <v>376.09</v>
      </c>
      <c r="L200">
        <f t="shared" si="20"/>
        <v>376.09</v>
      </c>
      <c r="M200" s="6"/>
      <c r="R200" s="7"/>
      <c r="S200" s="7"/>
    </row>
    <row r="201" spans="1:19" ht="28" x14ac:dyDescent="0.15">
      <c r="A201" s="8">
        <v>200</v>
      </c>
      <c r="B201" s="9" t="s">
        <v>652</v>
      </c>
      <c r="C201" s="9" t="s">
        <v>19</v>
      </c>
      <c r="D201" s="10">
        <v>245.12</v>
      </c>
      <c r="E201" s="10">
        <v>253.62</v>
      </c>
      <c r="F201" s="10">
        <v>29.46</v>
      </c>
      <c r="G201" s="9">
        <f t="shared" si="21"/>
        <v>57.802790000000023</v>
      </c>
      <c r="H201" s="11" t="s">
        <v>581</v>
      </c>
      <c r="I201" s="8"/>
      <c r="K201" s="7">
        <f t="shared" si="22"/>
        <v>253.62</v>
      </c>
      <c r="L201">
        <f t="shared" si="20"/>
        <v>253.62</v>
      </c>
      <c r="M201" s="6"/>
      <c r="R201" s="7"/>
      <c r="S201" s="7"/>
    </row>
    <row r="202" spans="1:19" ht="28" x14ac:dyDescent="0.15">
      <c r="A202" s="8">
        <v>201</v>
      </c>
      <c r="B202" s="9" t="s">
        <v>653</v>
      </c>
      <c r="C202" s="9" t="s">
        <v>28</v>
      </c>
      <c r="D202" s="10">
        <v>130.44</v>
      </c>
      <c r="E202" s="10">
        <v>138.94</v>
      </c>
      <c r="F202" s="10">
        <v>3.06</v>
      </c>
      <c r="G202" s="9">
        <f t="shared" si="21"/>
        <v>57.941730000000021</v>
      </c>
      <c r="H202" s="11" t="s">
        <v>581</v>
      </c>
      <c r="I202" s="8"/>
      <c r="K202" s="7">
        <f t="shared" si="22"/>
        <v>138.94</v>
      </c>
      <c r="L202">
        <f t="shared" si="20"/>
        <v>138.94</v>
      </c>
      <c r="M202" s="6"/>
      <c r="R202" s="7"/>
      <c r="S202" s="7"/>
    </row>
    <row r="203" spans="1:19" ht="28" x14ac:dyDescent="0.15">
      <c r="A203" s="8">
        <v>202</v>
      </c>
      <c r="B203" s="9" t="s">
        <v>654</v>
      </c>
      <c r="C203" s="9" t="s">
        <v>28</v>
      </c>
      <c r="D203" s="10">
        <v>154.25</v>
      </c>
      <c r="E203" s="10">
        <v>162.75</v>
      </c>
      <c r="F203" s="10">
        <v>0.27</v>
      </c>
      <c r="G203" s="9">
        <f t="shared" si="21"/>
        <v>58.104480000000024</v>
      </c>
      <c r="H203" s="11" t="s">
        <v>581</v>
      </c>
      <c r="I203" s="8"/>
      <c r="K203" s="7">
        <f t="shared" si="22"/>
        <v>162.75</v>
      </c>
      <c r="L203">
        <f t="shared" si="20"/>
        <v>162.75</v>
      </c>
      <c r="M203" s="6"/>
      <c r="R203" s="7"/>
      <c r="S203" s="7"/>
    </row>
    <row r="204" spans="1:19" ht="28" x14ac:dyDescent="0.15">
      <c r="A204" s="8">
        <v>203</v>
      </c>
      <c r="B204" s="9" t="s">
        <v>655</v>
      </c>
      <c r="C204" s="9" t="s">
        <v>28</v>
      </c>
      <c r="D204" s="10">
        <v>213.16</v>
      </c>
      <c r="E204" s="10">
        <v>221.66</v>
      </c>
      <c r="F204" s="10">
        <v>9.39</v>
      </c>
      <c r="G204" s="9">
        <f t="shared" si="21"/>
        <v>58.326140000000024</v>
      </c>
      <c r="H204" s="11" t="s">
        <v>581</v>
      </c>
      <c r="I204" s="8"/>
      <c r="K204" s="7">
        <f t="shared" si="22"/>
        <v>221.66</v>
      </c>
      <c r="L204">
        <f t="shared" si="20"/>
        <v>221.66</v>
      </c>
      <c r="M204" s="6"/>
      <c r="R204" s="7"/>
      <c r="S204" s="7"/>
    </row>
    <row r="205" spans="1:19" ht="28" x14ac:dyDescent="0.15">
      <c r="A205" s="8">
        <v>204</v>
      </c>
      <c r="B205" s="9" t="s">
        <v>656</v>
      </c>
      <c r="C205" s="9" t="s">
        <v>19</v>
      </c>
      <c r="D205" s="10">
        <v>325.25</v>
      </c>
      <c r="E205" s="10">
        <v>333.75</v>
      </c>
      <c r="F205" s="10">
        <v>3.54</v>
      </c>
      <c r="G205" s="9">
        <f t="shared" si="21"/>
        <v>58.659890000000026</v>
      </c>
      <c r="H205" s="11" t="s">
        <v>581</v>
      </c>
      <c r="I205" s="8"/>
      <c r="K205" s="7">
        <f t="shared" si="22"/>
        <v>333.75</v>
      </c>
      <c r="L205">
        <f t="shared" si="20"/>
        <v>333.75</v>
      </c>
      <c r="M205" s="6"/>
      <c r="R205" s="7"/>
      <c r="S205" s="7"/>
    </row>
    <row r="206" spans="1:19" ht="28" x14ac:dyDescent="0.15">
      <c r="A206" s="8">
        <v>205</v>
      </c>
      <c r="B206" s="9" t="s">
        <v>657</v>
      </c>
      <c r="C206" s="9" t="s">
        <v>16</v>
      </c>
      <c r="D206" s="10">
        <v>312.22000000000003</v>
      </c>
      <c r="E206" s="10">
        <v>312.22000000000003</v>
      </c>
      <c r="F206" s="10">
        <v>8.6999999999999993</v>
      </c>
      <c r="G206" s="9">
        <f t="shared" si="21"/>
        <v>58.972110000000029</v>
      </c>
      <c r="H206" s="11" t="s">
        <v>581</v>
      </c>
      <c r="I206" s="8"/>
      <c r="L206">
        <f t="shared" si="20"/>
        <v>312.22000000000003</v>
      </c>
      <c r="M206" s="6"/>
      <c r="R206" s="7"/>
      <c r="S206" s="7"/>
    </row>
    <row r="207" spans="1:19" ht="28" x14ac:dyDescent="0.15">
      <c r="A207" s="8">
        <v>206</v>
      </c>
      <c r="B207" s="9" t="s">
        <v>658</v>
      </c>
      <c r="C207" s="9" t="s">
        <v>19</v>
      </c>
      <c r="D207" s="10">
        <v>331.35</v>
      </c>
      <c r="E207" s="10">
        <v>339.85</v>
      </c>
      <c r="F207" s="10">
        <v>16.28</v>
      </c>
      <c r="G207" s="9">
        <f t="shared" si="21"/>
        <v>59.311960000000028</v>
      </c>
      <c r="H207" s="11" t="s">
        <v>581</v>
      </c>
      <c r="I207" s="8"/>
      <c r="K207" s="7">
        <f>D207+8.5</f>
        <v>339.85</v>
      </c>
      <c r="L207">
        <f t="shared" si="20"/>
        <v>339.85</v>
      </c>
      <c r="M207" s="6"/>
      <c r="R207" s="7"/>
      <c r="S207" s="7"/>
    </row>
    <row r="208" spans="1:19" ht="28" x14ac:dyDescent="0.15">
      <c r="A208" s="8">
        <v>207</v>
      </c>
      <c r="B208" s="9" t="s">
        <v>659</v>
      </c>
      <c r="C208" s="9" t="s">
        <v>16</v>
      </c>
      <c r="D208" s="10">
        <v>388.98</v>
      </c>
      <c r="E208" s="10">
        <v>388.98</v>
      </c>
      <c r="F208" s="10">
        <v>0.59</v>
      </c>
      <c r="G208" s="9">
        <f t="shared" si="21"/>
        <v>59.700940000000024</v>
      </c>
      <c r="H208" s="11" t="s">
        <v>581</v>
      </c>
      <c r="I208" s="8"/>
      <c r="L208">
        <f t="shared" si="20"/>
        <v>388.98</v>
      </c>
      <c r="M208" s="6"/>
      <c r="R208" s="7"/>
      <c r="S208" s="7"/>
    </row>
    <row r="209" spans="1:19" ht="28" x14ac:dyDescent="0.15">
      <c r="A209" s="8">
        <v>208</v>
      </c>
      <c r="B209" s="9" t="s">
        <v>660</v>
      </c>
      <c r="C209" s="9" t="s">
        <v>19</v>
      </c>
      <c r="D209" s="10">
        <v>331.22</v>
      </c>
      <c r="E209" s="10">
        <v>339.72</v>
      </c>
      <c r="F209" s="10">
        <v>0.55000000000000004</v>
      </c>
      <c r="G209" s="9">
        <f t="shared" si="21"/>
        <v>60.040660000000024</v>
      </c>
      <c r="H209" s="11" t="s">
        <v>581</v>
      </c>
      <c r="I209" s="8"/>
      <c r="K209" s="7">
        <f>D209+8.5</f>
        <v>339.72</v>
      </c>
      <c r="L209">
        <f t="shared" si="20"/>
        <v>339.72</v>
      </c>
      <c r="M209" s="6"/>
      <c r="R209" s="7"/>
      <c r="S209" s="7"/>
    </row>
    <row r="210" spans="1:19" ht="28" x14ac:dyDescent="0.15">
      <c r="A210" s="8">
        <v>209</v>
      </c>
      <c r="B210" s="9" t="s">
        <v>661</v>
      </c>
      <c r="C210" s="9" t="s">
        <v>23</v>
      </c>
      <c r="D210" s="10">
        <v>347.34</v>
      </c>
      <c r="E210" s="10">
        <v>347.34</v>
      </c>
      <c r="F210" s="10">
        <v>0.16</v>
      </c>
      <c r="G210" s="9">
        <f t="shared" si="21"/>
        <v>60.388000000000027</v>
      </c>
      <c r="H210" s="11" t="s">
        <v>581</v>
      </c>
      <c r="I210" s="8"/>
      <c r="L210">
        <f t="shared" si="20"/>
        <v>347.34</v>
      </c>
      <c r="M210" s="6"/>
      <c r="R210" s="7"/>
      <c r="S210" s="7"/>
    </row>
    <row r="211" spans="1:19" ht="28" x14ac:dyDescent="0.15">
      <c r="A211" s="8">
        <v>210</v>
      </c>
      <c r="B211" s="9" t="s">
        <v>662</v>
      </c>
      <c r="C211" s="9" t="s">
        <v>23</v>
      </c>
      <c r="D211" s="10">
        <v>297.66000000000003</v>
      </c>
      <c r="E211" s="10">
        <v>297.66000000000003</v>
      </c>
      <c r="F211" s="10">
        <v>1.08</v>
      </c>
      <c r="G211" s="9">
        <f t="shared" si="21"/>
        <v>60.685660000000027</v>
      </c>
      <c r="H211" s="11" t="s">
        <v>581</v>
      </c>
      <c r="I211" s="8"/>
      <c r="L211">
        <f t="shared" si="20"/>
        <v>297.66000000000003</v>
      </c>
      <c r="M211" s="6"/>
      <c r="R211" s="7"/>
      <c r="S211" s="7"/>
    </row>
    <row r="212" spans="1:19" ht="28" x14ac:dyDescent="0.15">
      <c r="A212" s="8">
        <v>211</v>
      </c>
      <c r="B212" s="9" t="s">
        <v>663</v>
      </c>
      <c r="C212" s="9" t="s">
        <v>23</v>
      </c>
      <c r="D212" s="10">
        <v>324.61</v>
      </c>
      <c r="E212" s="10">
        <v>324.61</v>
      </c>
      <c r="F212" s="10">
        <v>0.5</v>
      </c>
      <c r="G212" s="9">
        <f t="shared" si="21"/>
        <v>61.010270000000027</v>
      </c>
      <c r="H212" s="11" t="s">
        <v>581</v>
      </c>
      <c r="I212" s="8"/>
      <c r="L212">
        <f t="shared" si="20"/>
        <v>324.61</v>
      </c>
      <c r="M212" s="6"/>
      <c r="R212" s="7"/>
      <c r="S212" s="7"/>
    </row>
    <row r="213" spans="1:19" ht="28" x14ac:dyDescent="0.15">
      <c r="A213" s="8">
        <v>212</v>
      </c>
      <c r="B213" s="9" t="s">
        <v>664</v>
      </c>
      <c r="C213" s="9" t="s">
        <v>28</v>
      </c>
      <c r="D213" s="10">
        <v>321.33</v>
      </c>
      <c r="E213" s="10">
        <v>329.83</v>
      </c>
      <c r="F213" s="10">
        <v>20.05</v>
      </c>
      <c r="G213" s="9">
        <f t="shared" si="21"/>
        <v>61.340100000000028</v>
      </c>
      <c r="H213" s="11" t="s">
        <v>581</v>
      </c>
      <c r="I213" s="8"/>
      <c r="K213" s="7">
        <f>D213+8.5</f>
        <v>329.83</v>
      </c>
      <c r="L213">
        <f t="shared" si="20"/>
        <v>329.83</v>
      </c>
      <c r="M213" s="6"/>
      <c r="R213" s="7"/>
      <c r="S213" s="7"/>
    </row>
    <row r="214" spans="1:19" ht="28" x14ac:dyDescent="0.15">
      <c r="A214" s="8">
        <v>213</v>
      </c>
      <c r="B214" s="9" t="s">
        <v>665</v>
      </c>
      <c r="C214" s="9" t="s">
        <v>23</v>
      </c>
      <c r="D214" s="10">
        <v>295.81</v>
      </c>
      <c r="E214" s="10">
        <v>295.81</v>
      </c>
      <c r="F214" s="10">
        <v>1.0900000000000001</v>
      </c>
      <c r="G214" s="9">
        <f t="shared" si="21"/>
        <v>61.635910000000031</v>
      </c>
      <c r="H214" s="11" t="s">
        <v>581</v>
      </c>
      <c r="I214" s="8"/>
      <c r="L214">
        <f t="shared" si="20"/>
        <v>295.81</v>
      </c>
      <c r="M214" s="6"/>
      <c r="R214" s="7"/>
      <c r="S214" s="7"/>
    </row>
    <row r="215" spans="1:19" ht="28" x14ac:dyDescent="0.15">
      <c r="A215" s="8">
        <v>214</v>
      </c>
      <c r="B215" s="9" t="s">
        <v>666</v>
      </c>
      <c r="C215" s="9" t="s">
        <v>19</v>
      </c>
      <c r="D215" s="10">
        <v>236.32</v>
      </c>
      <c r="E215" s="10">
        <v>244.82</v>
      </c>
      <c r="F215" s="10">
        <v>36.369999999999997</v>
      </c>
      <c r="G215" s="9">
        <f t="shared" si="21"/>
        <v>61.880730000000028</v>
      </c>
      <c r="H215" s="11" t="s">
        <v>581</v>
      </c>
      <c r="I215" s="8"/>
      <c r="K215" s="7">
        <f>D215+8.5</f>
        <v>244.82</v>
      </c>
      <c r="L215">
        <f t="shared" si="20"/>
        <v>244.82</v>
      </c>
      <c r="M215" s="6"/>
      <c r="R215" s="7"/>
      <c r="S215" s="7"/>
    </row>
    <row r="216" spans="1:19" ht="28" x14ac:dyDescent="0.15">
      <c r="A216" s="8">
        <v>215</v>
      </c>
      <c r="B216" s="9" t="s">
        <v>667</v>
      </c>
      <c r="C216" s="9" t="s">
        <v>23</v>
      </c>
      <c r="D216" s="10">
        <v>223.8</v>
      </c>
      <c r="E216" s="10">
        <v>223.8</v>
      </c>
      <c r="F216" s="10">
        <v>1.65</v>
      </c>
      <c r="G216" s="9">
        <f t="shared" si="21"/>
        <v>62.104530000000025</v>
      </c>
      <c r="H216" s="11" t="s">
        <v>581</v>
      </c>
      <c r="I216" s="8"/>
      <c r="L216">
        <f t="shared" si="20"/>
        <v>223.8</v>
      </c>
      <c r="M216" s="6"/>
      <c r="R216" s="7"/>
      <c r="S216" s="7"/>
    </row>
    <row r="217" spans="1:19" ht="28" x14ac:dyDescent="0.15">
      <c r="A217" s="8">
        <v>216</v>
      </c>
      <c r="B217" s="9" t="s">
        <v>668</v>
      </c>
      <c r="C217" s="9" t="s">
        <v>19</v>
      </c>
      <c r="D217" s="10">
        <v>338.61</v>
      </c>
      <c r="E217" s="10">
        <v>347.11</v>
      </c>
      <c r="F217" s="10">
        <v>35.409999999999997</v>
      </c>
      <c r="G217" s="9">
        <f t="shared" si="21"/>
        <v>62.451640000000026</v>
      </c>
      <c r="H217" s="11" t="s">
        <v>581</v>
      </c>
      <c r="I217" s="8"/>
      <c r="K217" s="7">
        <f>D217+8.5</f>
        <v>347.11</v>
      </c>
      <c r="L217">
        <f t="shared" si="20"/>
        <v>347.11</v>
      </c>
      <c r="M217" s="6"/>
      <c r="R217" s="7"/>
      <c r="S217" s="7"/>
    </row>
    <row r="218" spans="1:19" ht="28" x14ac:dyDescent="0.15">
      <c r="A218" s="8">
        <v>217</v>
      </c>
      <c r="B218" s="9" t="s">
        <v>669</v>
      </c>
      <c r="C218" s="9" t="s">
        <v>16</v>
      </c>
      <c r="D218" s="10">
        <v>311.93</v>
      </c>
      <c r="E218" s="10">
        <v>311.93</v>
      </c>
      <c r="F218" s="10">
        <v>3.66</v>
      </c>
      <c r="G218" s="9">
        <f t="shared" si="21"/>
        <v>62.763570000000023</v>
      </c>
      <c r="H218" s="11" t="s">
        <v>581</v>
      </c>
      <c r="I218" s="8"/>
      <c r="L218">
        <f t="shared" si="20"/>
        <v>311.93</v>
      </c>
      <c r="M218" s="6"/>
      <c r="R218" s="7"/>
      <c r="S218" s="7"/>
    </row>
    <row r="219" spans="1:19" ht="28" x14ac:dyDescent="0.15">
      <c r="A219" s="8">
        <v>218</v>
      </c>
      <c r="B219" s="9" t="s">
        <v>670</v>
      </c>
      <c r="C219" s="9" t="s">
        <v>23</v>
      </c>
      <c r="D219" s="10">
        <v>343.86</v>
      </c>
      <c r="E219" s="10">
        <v>343.86</v>
      </c>
      <c r="F219" s="10">
        <v>1.57</v>
      </c>
      <c r="G219" s="9">
        <f t="shared" si="21"/>
        <v>63.107430000000022</v>
      </c>
      <c r="H219" s="11" t="s">
        <v>581</v>
      </c>
      <c r="I219" s="8"/>
      <c r="L219">
        <f t="shared" si="20"/>
        <v>343.86</v>
      </c>
      <c r="M219" s="6"/>
      <c r="R219" s="7"/>
      <c r="S219" s="7"/>
    </row>
    <row r="220" spans="1:19" ht="28" x14ac:dyDescent="0.15">
      <c r="A220" s="8">
        <v>219</v>
      </c>
      <c r="B220" s="9" t="s">
        <v>671</v>
      </c>
      <c r="C220" s="9" t="s">
        <v>23</v>
      </c>
      <c r="D220" s="10">
        <v>307.85000000000002</v>
      </c>
      <c r="E220" s="10">
        <v>307.85000000000002</v>
      </c>
      <c r="F220" s="10">
        <v>2.68</v>
      </c>
      <c r="G220" s="9">
        <f t="shared" si="21"/>
        <v>63.415280000000024</v>
      </c>
      <c r="H220" s="11" t="s">
        <v>581</v>
      </c>
      <c r="I220" s="8"/>
      <c r="L220">
        <f t="shared" si="20"/>
        <v>307.85000000000002</v>
      </c>
      <c r="M220" s="6"/>
      <c r="R220" s="7"/>
      <c r="S220" s="7"/>
    </row>
    <row r="221" spans="1:19" ht="28" x14ac:dyDescent="0.15">
      <c r="A221" s="8">
        <v>220</v>
      </c>
      <c r="B221" s="9" t="s">
        <v>672</v>
      </c>
      <c r="C221" s="9" t="s">
        <v>19</v>
      </c>
      <c r="D221" s="10">
        <v>320.83999999999997</v>
      </c>
      <c r="E221" s="10">
        <v>329.34</v>
      </c>
      <c r="F221" s="10">
        <v>31.91</v>
      </c>
      <c r="G221" s="9">
        <f t="shared" si="21"/>
        <v>63.744620000000026</v>
      </c>
      <c r="H221" s="11" t="s">
        <v>581</v>
      </c>
      <c r="I221" s="8"/>
      <c r="K221" s="7">
        <f>D221+8.5</f>
        <v>329.34</v>
      </c>
      <c r="L221">
        <f t="shared" si="20"/>
        <v>329.34</v>
      </c>
      <c r="M221" s="6"/>
      <c r="R221" s="7"/>
      <c r="S221" s="7"/>
    </row>
    <row r="222" spans="1:19" ht="28" x14ac:dyDescent="0.15">
      <c r="A222" s="8">
        <v>221</v>
      </c>
      <c r="B222" s="9" t="s">
        <v>673</v>
      </c>
      <c r="C222" s="9" t="s">
        <v>23</v>
      </c>
      <c r="D222" s="10">
        <v>334.43</v>
      </c>
      <c r="E222" s="10">
        <v>334.43</v>
      </c>
      <c r="F222" s="10">
        <v>0.2</v>
      </c>
      <c r="G222" s="9">
        <f t="shared" si="21"/>
        <v>64.079050000000024</v>
      </c>
      <c r="H222" s="11" t="s">
        <v>581</v>
      </c>
      <c r="I222" s="8"/>
      <c r="L222">
        <f t="shared" si="20"/>
        <v>334.43</v>
      </c>
      <c r="M222" s="6"/>
      <c r="R222" s="7"/>
      <c r="S222" s="7"/>
    </row>
    <row r="223" spans="1:19" ht="28" x14ac:dyDescent="0.15">
      <c r="A223" s="8">
        <v>222</v>
      </c>
      <c r="B223" s="9" t="s">
        <v>674</v>
      </c>
      <c r="C223" s="9" t="s">
        <v>23</v>
      </c>
      <c r="D223" s="10">
        <v>337.73</v>
      </c>
      <c r="E223" s="10">
        <v>337.73</v>
      </c>
      <c r="F223" s="10">
        <v>1.55</v>
      </c>
      <c r="G223" s="9">
        <f t="shared" si="21"/>
        <v>64.416780000000017</v>
      </c>
      <c r="H223" s="11" t="s">
        <v>581</v>
      </c>
      <c r="I223" s="8"/>
      <c r="L223">
        <f t="shared" si="20"/>
        <v>337.73</v>
      </c>
      <c r="M223" s="6"/>
      <c r="R223" s="7"/>
      <c r="S223" s="7"/>
    </row>
    <row r="224" spans="1:19" ht="28" x14ac:dyDescent="0.15">
      <c r="A224" s="8">
        <v>223</v>
      </c>
      <c r="B224" s="9" t="s">
        <v>675</v>
      </c>
      <c r="C224" s="9" t="s">
        <v>23</v>
      </c>
      <c r="D224" s="10">
        <v>291.7</v>
      </c>
      <c r="E224" s="10">
        <v>291.7</v>
      </c>
      <c r="F224" s="10">
        <v>2.02</v>
      </c>
      <c r="G224" s="9">
        <f t="shared" si="21"/>
        <v>64.708480000000023</v>
      </c>
      <c r="H224" s="11" t="s">
        <v>581</v>
      </c>
      <c r="I224" s="8"/>
      <c r="L224">
        <f t="shared" si="20"/>
        <v>291.7</v>
      </c>
      <c r="M224" s="6"/>
      <c r="R224" s="7"/>
      <c r="S224" s="7"/>
    </row>
    <row r="225" spans="1:19" ht="28" x14ac:dyDescent="0.15">
      <c r="A225" s="8">
        <v>224</v>
      </c>
      <c r="B225" s="9" t="s">
        <v>676</v>
      </c>
      <c r="C225" s="9" t="s">
        <v>23</v>
      </c>
      <c r="D225" s="10">
        <v>423.21</v>
      </c>
      <c r="E225" s="10">
        <v>423.21</v>
      </c>
      <c r="F225" s="10">
        <v>1.31</v>
      </c>
      <c r="G225" s="9">
        <f t="shared" si="21"/>
        <v>65.13169000000002</v>
      </c>
      <c r="H225" s="11" t="s">
        <v>581</v>
      </c>
      <c r="I225" s="8"/>
      <c r="L225">
        <f t="shared" si="20"/>
        <v>423.21</v>
      </c>
      <c r="M225" s="6"/>
      <c r="R225" s="7"/>
      <c r="S225" s="7"/>
    </row>
    <row r="226" spans="1:19" ht="28" x14ac:dyDescent="0.15">
      <c r="A226" s="8">
        <v>225</v>
      </c>
      <c r="B226" s="9" t="s">
        <v>677</v>
      </c>
      <c r="C226" s="9" t="s">
        <v>19</v>
      </c>
      <c r="D226" s="10">
        <v>322.99</v>
      </c>
      <c r="E226" s="10">
        <v>331.49</v>
      </c>
      <c r="F226" s="10">
        <v>39.869999999999997</v>
      </c>
      <c r="G226" s="9">
        <f t="shared" si="21"/>
        <v>65.463180000000023</v>
      </c>
      <c r="H226" s="11" t="s">
        <v>581</v>
      </c>
      <c r="I226" s="8"/>
      <c r="K226" s="7">
        <f>D226+8.5</f>
        <v>331.49</v>
      </c>
      <c r="L226">
        <f t="shared" si="20"/>
        <v>331.49</v>
      </c>
      <c r="M226" s="6"/>
      <c r="R226" s="7"/>
      <c r="S226" s="7"/>
    </row>
    <row r="227" spans="1:19" ht="28" x14ac:dyDescent="0.15">
      <c r="A227" s="8">
        <v>226</v>
      </c>
      <c r="B227" s="9" t="s">
        <v>678</v>
      </c>
      <c r="C227" s="9" t="s">
        <v>23</v>
      </c>
      <c r="D227" s="10">
        <v>374.87</v>
      </c>
      <c r="E227" s="10">
        <v>374.87</v>
      </c>
      <c r="F227" s="10">
        <v>0.72</v>
      </c>
      <c r="G227" s="9">
        <f t="shared" si="21"/>
        <v>65.838050000000024</v>
      </c>
      <c r="H227" s="11" t="s">
        <v>581</v>
      </c>
      <c r="I227" s="8"/>
      <c r="L227">
        <f t="shared" si="20"/>
        <v>374.87</v>
      </c>
      <c r="M227" s="6"/>
      <c r="R227" s="7"/>
      <c r="S227" s="7"/>
    </row>
    <row r="228" spans="1:19" ht="28" x14ac:dyDescent="0.15">
      <c r="A228" s="8">
        <v>227</v>
      </c>
      <c r="B228" s="9" t="s">
        <v>679</v>
      </c>
      <c r="C228" s="9" t="s">
        <v>23</v>
      </c>
      <c r="D228" s="10">
        <v>250.18</v>
      </c>
      <c r="E228" s="10">
        <v>250.18</v>
      </c>
      <c r="F228" s="10">
        <v>1.91</v>
      </c>
      <c r="G228" s="9">
        <f t="shared" si="21"/>
        <v>66.088230000000024</v>
      </c>
      <c r="H228" s="11" t="s">
        <v>581</v>
      </c>
      <c r="I228" s="8"/>
      <c r="L228">
        <f t="shared" si="20"/>
        <v>250.18</v>
      </c>
      <c r="M228" s="6"/>
      <c r="R228" s="7"/>
      <c r="S228" s="7"/>
    </row>
    <row r="229" spans="1:19" ht="28" x14ac:dyDescent="0.15">
      <c r="A229" s="8">
        <v>228</v>
      </c>
      <c r="B229" s="9" t="s">
        <v>680</v>
      </c>
      <c r="C229" s="9" t="s">
        <v>16</v>
      </c>
      <c r="D229" s="10">
        <v>291.5</v>
      </c>
      <c r="E229" s="10">
        <v>291.5</v>
      </c>
      <c r="F229" s="10">
        <v>14.83</v>
      </c>
      <c r="G229" s="9">
        <f t="shared" si="21"/>
        <v>66.379730000000023</v>
      </c>
      <c r="H229" s="11" t="s">
        <v>581</v>
      </c>
      <c r="I229" s="8"/>
      <c r="L229">
        <f t="shared" si="20"/>
        <v>291.5</v>
      </c>
      <c r="M229" s="6"/>
      <c r="R229" s="7"/>
      <c r="S229" s="7"/>
    </row>
    <row r="230" spans="1:19" ht="28" x14ac:dyDescent="0.15">
      <c r="A230" s="8">
        <v>229</v>
      </c>
      <c r="B230" s="9" t="s">
        <v>117</v>
      </c>
      <c r="C230" s="9" t="s">
        <v>23</v>
      </c>
      <c r="D230" s="10">
        <v>277.92</v>
      </c>
      <c r="E230" s="10">
        <v>277.92</v>
      </c>
      <c r="F230" s="10">
        <v>0.46</v>
      </c>
      <c r="G230" s="9">
        <f t="shared" si="21"/>
        <v>66.657650000000018</v>
      </c>
      <c r="H230" s="11" t="s">
        <v>581</v>
      </c>
      <c r="I230" s="8"/>
      <c r="L230">
        <f t="shared" si="20"/>
        <v>277.92</v>
      </c>
      <c r="M230" s="6"/>
      <c r="R230" s="7"/>
      <c r="S230" s="7"/>
    </row>
    <row r="231" spans="1:19" ht="28" x14ac:dyDescent="0.15">
      <c r="A231" s="8">
        <v>230</v>
      </c>
      <c r="B231" s="9" t="s">
        <v>118</v>
      </c>
      <c r="C231" s="9" t="s">
        <v>28</v>
      </c>
      <c r="D231" s="10">
        <v>344.02</v>
      </c>
      <c r="E231" s="10">
        <v>352.52</v>
      </c>
      <c r="F231" s="10">
        <v>25.49</v>
      </c>
      <c r="G231" s="9">
        <f t="shared" si="21"/>
        <v>67.010170000000016</v>
      </c>
      <c r="H231" s="11" t="s">
        <v>581</v>
      </c>
      <c r="I231" s="8"/>
      <c r="K231" s="7">
        <f t="shared" ref="K231:K232" si="23">D231+8.5</f>
        <v>352.52</v>
      </c>
      <c r="L231">
        <f t="shared" si="20"/>
        <v>352.52</v>
      </c>
      <c r="M231" s="6"/>
      <c r="R231" s="7"/>
      <c r="S231" s="7"/>
    </row>
    <row r="232" spans="1:19" ht="28" x14ac:dyDescent="0.15">
      <c r="A232" s="8">
        <v>231</v>
      </c>
      <c r="B232" s="9" t="s">
        <v>121</v>
      </c>
      <c r="C232" s="9" t="s">
        <v>28</v>
      </c>
      <c r="D232" s="10">
        <v>329.04</v>
      </c>
      <c r="E232" s="10">
        <v>337.54</v>
      </c>
      <c r="F232" s="10">
        <v>20.7</v>
      </c>
      <c r="G232" s="9">
        <f t="shared" si="21"/>
        <v>67.347710000000021</v>
      </c>
      <c r="H232" s="11" t="s">
        <v>581</v>
      </c>
      <c r="I232" s="8"/>
      <c r="K232" s="7">
        <f t="shared" si="23"/>
        <v>337.54</v>
      </c>
      <c r="L232">
        <f t="shared" si="20"/>
        <v>337.54</v>
      </c>
      <c r="M232" s="6"/>
      <c r="R232" s="7"/>
      <c r="S232" s="7"/>
    </row>
    <row r="233" spans="1:19" ht="28" x14ac:dyDescent="0.15">
      <c r="A233" s="8">
        <v>232</v>
      </c>
      <c r="B233" s="9" t="s">
        <v>122</v>
      </c>
      <c r="C233" s="9" t="s">
        <v>23</v>
      </c>
      <c r="D233" s="10">
        <v>342.17</v>
      </c>
      <c r="E233" s="10">
        <v>342.17</v>
      </c>
      <c r="F233" s="10">
        <v>0.19</v>
      </c>
      <c r="G233" s="9">
        <f t="shared" si="21"/>
        <v>67.689880000000016</v>
      </c>
      <c r="H233" s="11" t="s">
        <v>581</v>
      </c>
      <c r="I233" s="8"/>
      <c r="L233">
        <f t="shared" si="20"/>
        <v>342.17</v>
      </c>
      <c r="M233" s="6"/>
      <c r="R233" s="7"/>
      <c r="S233" s="7"/>
    </row>
    <row r="234" spans="1:19" ht="28" x14ac:dyDescent="0.15">
      <c r="A234" s="8">
        <v>233</v>
      </c>
      <c r="B234" s="9" t="s">
        <v>123</v>
      </c>
      <c r="C234" s="9" t="s">
        <v>23</v>
      </c>
      <c r="D234" s="10">
        <v>311.39999999999998</v>
      </c>
      <c r="E234" s="10">
        <v>311.39999999999998</v>
      </c>
      <c r="F234" s="10">
        <v>1.34</v>
      </c>
      <c r="G234" s="9">
        <f t="shared" si="21"/>
        <v>68.001280000000023</v>
      </c>
      <c r="H234" s="11" t="s">
        <v>581</v>
      </c>
      <c r="I234" s="8"/>
      <c r="L234">
        <f t="shared" si="20"/>
        <v>311.39999999999998</v>
      </c>
      <c r="M234" s="6"/>
      <c r="R234" s="7"/>
      <c r="S234" s="7"/>
    </row>
    <row r="235" spans="1:19" ht="28" x14ac:dyDescent="0.15">
      <c r="A235" s="8">
        <v>234</v>
      </c>
      <c r="B235" s="9" t="s">
        <v>124</v>
      </c>
      <c r="C235" s="9" t="s">
        <v>23</v>
      </c>
      <c r="D235" s="10">
        <v>351.74</v>
      </c>
      <c r="E235" s="10">
        <v>351.74</v>
      </c>
      <c r="F235" s="10">
        <v>2.33</v>
      </c>
      <c r="G235" s="9">
        <f t="shared" si="21"/>
        <v>68.353020000000029</v>
      </c>
      <c r="H235" s="11" t="s">
        <v>581</v>
      </c>
      <c r="I235" s="8"/>
      <c r="L235">
        <f t="shared" si="20"/>
        <v>351.74</v>
      </c>
      <c r="M235" s="6"/>
      <c r="R235" s="7"/>
      <c r="S235" s="7"/>
    </row>
    <row r="236" spans="1:19" ht="28" x14ac:dyDescent="0.15">
      <c r="A236" s="8">
        <v>235</v>
      </c>
      <c r="B236" s="9" t="s">
        <v>125</v>
      </c>
      <c r="C236" s="9" t="s">
        <v>23</v>
      </c>
      <c r="D236" s="10">
        <v>250.12</v>
      </c>
      <c r="E236" s="10">
        <v>250.12</v>
      </c>
      <c r="F236" s="10">
        <v>3.09</v>
      </c>
      <c r="G236" s="9">
        <f t="shared" si="21"/>
        <v>68.603140000000025</v>
      </c>
      <c r="H236" s="11" t="s">
        <v>581</v>
      </c>
      <c r="I236" s="8"/>
      <c r="L236">
        <f t="shared" si="20"/>
        <v>250.12</v>
      </c>
      <c r="M236" s="6"/>
      <c r="R236" s="7"/>
      <c r="S236" s="7"/>
    </row>
    <row r="237" spans="1:19" ht="28" x14ac:dyDescent="0.15">
      <c r="A237" s="8">
        <v>236</v>
      </c>
      <c r="B237" s="9" t="s">
        <v>126</v>
      </c>
      <c r="C237" s="9" t="s">
        <v>19</v>
      </c>
      <c r="D237" s="10">
        <v>202.85</v>
      </c>
      <c r="E237" s="10">
        <v>211.35</v>
      </c>
      <c r="F237" s="10">
        <v>48.02</v>
      </c>
      <c r="G237" s="9">
        <f t="shared" si="21"/>
        <v>68.814490000000021</v>
      </c>
      <c r="H237" s="11" t="s">
        <v>581</v>
      </c>
      <c r="I237" s="8"/>
      <c r="K237" s="7">
        <f>D237+8.5</f>
        <v>211.35</v>
      </c>
      <c r="L237">
        <f t="shared" si="20"/>
        <v>211.35</v>
      </c>
      <c r="M237" s="6"/>
      <c r="R237" s="7"/>
      <c r="S237" s="7"/>
    </row>
    <row r="238" spans="1:19" ht="28" x14ac:dyDescent="0.15">
      <c r="A238" s="8">
        <v>237</v>
      </c>
      <c r="B238" s="9" t="s">
        <v>127</v>
      </c>
      <c r="C238" s="9" t="s">
        <v>23</v>
      </c>
      <c r="D238" s="10">
        <v>251.15</v>
      </c>
      <c r="E238" s="10">
        <v>251.15</v>
      </c>
      <c r="F238" s="10">
        <v>11.67</v>
      </c>
      <c r="G238" s="9">
        <f t="shared" si="21"/>
        <v>69.065640000000016</v>
      </c>
      <c r="H238" s="11" t="s">
        <v>581</v>
      </c>
      <c r="I238" s="8"/>
      <c r="L238">
        <f t="shared" si="20"/>
        <v>251.15</v>
      </c>
      <c r="M238" s="6"/>
      <c r="R238" s="7"/>
      <c r="S238" s="7"/>
    </row>
    <row r="239" spans="1:19" ht="28" x14ac:dyDescent="0.15">
      <c r="A239" s="8">
        <v>238</v>
      </c>
      <c r="B239" s="9" t="s">
        <v>128</v>
      </c>
      <c r="C239" s="9" t="s">
        <v>23</v>
      </c>
      <c r="D239" s="10">
        <v>285.31</v>
      </c>
      <c r="E239" s="10">
        <v>285.31</v>
      </c>
      <c r="F239" s="10">
        <v>3.98</v>
      </c>
      <c r="G239" s="9">
        <f t="shared" si="21"/>
        <v>69.350950000000012</v>
      </c>
      <c r="H239" s="11" t="s">
        <v>581</v>
      </c>
      <c r="I239" s="8"/>
      <c r="L239">
        <f t="shared" si="20"/>
        <v>285.31</v>
      </c>
      <c r="M239" s="6"/>
      <c r="R239" s="7"/>
      <c r="S239" s="7"/>
    </row>
    <row r="240" spans="1:19" ht="28" x14ac:dyDescent="0.15">
      <c r="A240" s="8">
        <v>239</v>
      </c>
      <c r="B240" s="9" t="s">
        <v>129</v>
      </c>
      <c r="C240" s="9" t="s">
        <v>19</v>
      </c>
      <c r="D240" s="10">
        <v>260.12</v>
      </c>
      <c r="E240" s="10">
        <v>268.62</v>
      </c>
      <c r="F240" s="10">
        <v>42</v>
      </c>
      <c r="G240" s="9">
        <f t="shared" si="21"/>
        <v>69.61957000000001</v>
      </c>
      <c r="H240" s="11" t="s">
        <v>581</v>
      </c>
      <c r="I240" s="8"/>
      <c r="K240" s="7">
        <f>D240+8.5</f>
        <v>268.62</v>
      </c>
      <c r="L240">
        <f t="shared" si="20"/>
        <v>268.62</v>
      </c>
      <c r="M240" s="6"/>
      <c r="R240" s="7"/>
      <c r="S240" s="7"/>
    </row>
    <row r="241" spans="1:19" ht="28" x14ac:dyDescent="0.15">
      <c r="A241" s="8">
        <v>240</v>
      </c>
      <c r="B241" s="9" t="s">
        <v>130</v>
      </c>
      <c r="C241" s="9" t="s">
        <v>23</v>
      </c>
      <c r="D241" s="10">
        <v>367.35</v>
      </c>
      <c r="E241" s="10">
        <v>367.35</v>
      </c>
      <c r="F241" s="10">
        <v>0.28999999999999998</v>
      </c>
      <c r="G241" s="9">
        <f t="shared" si="21"/>
        <v>69.986920000000012</v>
      </c>
      <c r="H241" s="11" t="s">
        <v>581</v>
      </c>
      <c r="I241" s="8"/>
      <c r="L241">
        <f t="shared" si="20"/>
        <v>367.35</v>
      </c>
      <c r="M241" s="6"/>
      <c r="R241" s="7"/>
      <c r="S241" s="7"/>
    </row>
    <row r="242" spans="1:19" ht="28" x14ac:dyDescent="0.15">
      <c r="A242" s="8">
        <v>241</v>
      </c>
      <c r="B242" s="9" t="s">
        <v>131</v>
      </c>
      <c r="C242" s="9" t="s">
        <v>19</v>
      </c>
      <c r="D242" s="10">
        <v>348.33</v>
      </c>
      <c r="E242" s="10">
        <v>356.83</v>
      </c>
      <c r="F242" s="10">
        <v>54.7</v>
      </c>
      <c r="G242" s="9">
        <f t="shared" si="21"/>
        <v>70.343750000000014</v>
      </c>
      <c r="H242" s="11" t="s">
        <v>581</v>
      </c>
      <c r="I242" s="8"/>
      <c r="K242" s="7">
        <f t="shared" ref="K242:K243" si="24">D242+8.5</f>
        <v>356.83</v>
      </c>
      <c r="L242">
        <f t="shared" si="20"/>
        <v>356.83</v>
      </c>
      <c r="M242" s="6"/>
      <c r="R242" s="7"/>
      <c r="S242" s="7"/>
    </row>
    <row r="243" spans="1:19" ht="28" x14ac:dyDescent="0.15">
      <c r="A243" s="8">
        <v>242</v>
      </c>
      <c r="B243" s="9" t="s">
        <v>132</v>
      </c>
      <c r="C243" s="9" t="s">
        <v>19</v>
      </c>
      <c r="D243" s="10">
        <v>260.62</v>
      </c>
      <c r="E243" s="10">
        <v>269.12</v>
      </c>
      <c r="F243" s="10">
        <v>42.4</v>
      </c>
      <c r="G243" s="9">
        <f t="shared" si="21"/>
        <v>70.612870000000015</v>
      </c>
      <c r="H243" s="11" t="s">
        <v>581</v>
      </c>
      <c r="I243" s="8"/>
      <c r="K243" s="7">
        <f t="shared" si="24"/>
        <v>269.12</v>
      </c>
      <c r="L243">
        <f t="shared" si="20"/>
        <v>269.12</v>
      </c>
      <c r="M243" s="6"/>
      <c r="R243" s="7"/>
      <c r="S243" s="7"/>
    </row>
    <row r="244" spans="1:19" ht="28" x14ac:dyDescent="0.15">
      <c r="A244" s="8">
        <v>243</v>
      </c>
      <c r="B244" s="9" t="s">
        <v>133</v>
      </c>
      <c r="C244" s="9" t="s">
        <v>23</v>
      </c>
      <c r="D244" s="10">
        <v>204.94</v>
      </c>
      <c r="E244" s="10">
        <v>204.94</v>
      </c>
      <c r="F244" s="10">
        <v>0.1</v>
      </c>
      <c r="G244" s="9">
        <f t="shared" si="21"/>
        <v>70.817810000000009</v>
      </c>
      <c r="H244" s="11" t="s">
        <v>581</v>
      </c>
      <c r="I244" s="8"/>
      <c r="L244">
        <f t="shared" si="20"/>
        <v>204.94</v>
      </c>
      <c r="M244" s="6"/>
      <c r="R244" s="7"/>
      <c r="S244" s="7"/>
    </row>
    <row r="245" spans="1:19" ht="28" x14ac:dyDescent="0.15">
      <c r="A245" s="8">
        <v>244</v>
      </c>
      <c r="B245" s="9" t="s">
        <v>134</v>
      </c>
      <c r="C245" s="9" t="s">
        <v>28</v>
      </c>
      <c r="D245" s="10">
        <v>309.60000000000002</v>
      </c>
      <c r="E245" s="10">
        <v>318.10000000000002</v>
      </c>
      <c r="F245" s="10">
        <v>0.91</v>
      </c>
      <c r="G245" s="9">
        <f t="shared" si="21"/>
        <v>71.13591000000001</v>
      </c>
      <c r="H245" s="11" t="s">
        <v>581</v>
      </c>
      <c r="I245" s="8"/>
      <c r="K245" s="7">
        <f t="shared" ref="K245:K247" si="25">D245+8.5</f>
        <v>318.10000000000002</v>
      </c>
      <c r="L245">
        <f t="shared" si="20"/>
        <v>318.10000000000002</v>
      </c>
      <c r="M245" s="6"/>
      <c r="R245" s="7"/>
      <c r="S245" s="7"/>
    </row>
    <row r="246" spans="1:19" ht="28" x14ac:dyDescent="0.15">
      <c r="A246" s="8">
        <v>245</v>
      </c>
      <c r="B246" s="9" t="s">
        <v>135</v>
      </c>
      <c r="C246" s="9" t="s">
        <v>19</v>
      </c>
      <c r="D246" s="10">
        <v>242</v>
      </c>
      <c r="E246" s="10">
        <v>250.5</v>
      </c>
      <c r="F246" s="10">
        <v>36.340000000000003</v>
      </c>
      <c r="G246" s="9">
        <f t="shared" si="21"/>
        <v>71.386410000000012</v>
      </c>
      <c r="H246" s="11" t="s">
        <v>581</v>
      </c>
      <c r="I246" s="8"/>
      <c r="K246" s="7">
        <f t="shared" si="25"/>
        <v>250.5</v>
      </c>
      <c r="L246">
        <f t="shared" si="20"/>
        <v>250.5</v>
      </c>
      <c r="M246" s="6"/>
      <c r="R246" s="7"/>
      <c r="S246" s="7"/>
    </row>
    <row r="247" spans="1:19" ht="28" x14ac:dyDescent="0.15">
      <c r="A247" s="8">
        <v>246</v>
      </c>
      <c r="B247" s="9" t="s">
        <v>136</v>
      </c>
      <c r="C247" s="9" t="s">
        <v>19</v>
      </c>
      <c r="D247" s="10">
        <v>311.67</v>
      </c>
      <c r="E247" s="10">
        <v>320.17</v>
      </c>
      <c r="F247" s="10">
        <v>33.49</v>
      </c>
      <c r="G247" s="9">
        <f t="shared" si="21"/>
        <v>71.706580000000017</v>
      </c>
      <c r="H247" s="11" t="s">
        <v>581</v>
      </c>
      <c r="I247" s="8"/>
      <c r="K247" s="7">
        <f t="shared" si="25"/>
        <v>320.17</v>
      </c>
      <c r="L247">
        <f t="shared" si="20"/>
        <v>320.17</v>
      </c>
      <c r="M247" s="6"/>
      <c r="R247" s="7"/>
      <c r="S247" s="7"/>
    </row>
    <row r="248" spans="1:19" ht="28" x14ac:dyDescent="0.15">
      <c r="A248" s="8">
        <v>247</v>
      </c>
      <c r="B248" s="9" t="s">
        <v>137</v>
      </c>
      <c r="C248" s="9" t="s">
        <v>23</v>
      </c>
      <c r="D248" s="10">
        <v>421.31</v>
      </c>
      <c r="E248" s="10">
        <v>421.31</v>
      </c>
      <c r="F248" s="10">
        <v>6.65</v>
      </c>
      <c r="G248" s="9">
        <f t="shared" si="21"/>
        <v>72.127890000000022</v>
      </c>
      <c r="H248" s="11" t="s">
        <v>581</v>
      </c>
      <c r="I248" s="8"/>
      <c r="L248">
        <f t="shared" si="20"/>
        <v>421.31</v>
      </c>
      <c r="M248" s="6"/>
      <c r="R248" s="7"/>
      <c r="S248" s="7"/>
    </row>
    <row r="249" spans="1:19" ht="28" x14ac:dyDescent="0.15">
      <c r="A249" s="8">
        <v>248</v>
      </c>
      <c r="B249" s="9" t="s">
        <v>138</v>
      </c>
      <c r="C249" s="9" t="s">
        <v>23</v>
      </c>
      <c r="D249" s="10">
        <v>323.38</v>
      </c>
      <c r="E249" s="10">
        <v>323.38</v>
      </c>
      <c r="F249" s="10">
        <v>8.74</v>
      </c>
      <c r="G249" s="9">
        <f t="shared" si="21"/>
        <v>72.451270000000022</v>
      </c>
      <c r="H249" s="11" t="s">
        <v>581</v>
      </c>
      <c r="I249" s="8"/>
      <c r="L249">
        <f t="shared" si="20"/>
        <v>323.38</v>
      </c>
      <c r="M249" s="6"/>
      <c r="R249" s="7"/>
      <c r="S249" s="7"/>
    </row>
    <row r="250" spans="1:19" ht="28" x14ac:dyDescent="0.15">
      <c r="A250" s="8">
        <v>249</v>
      </c>
      <c r="B250" s="9" t="s">
        <v>139</v>
      </c>
      <c r="C250" s="9" t="s">
        <v>19</v>
      </c>
      <c r="D250" s="10">
        <v>255.8</v>
      </c>
      <c r="E250" s="10">
        <v>264.3</v>
      </c>
      <c r="F250" s="10">
        <v>0.46</v>
      </c>
      <c r="G250" s="9">
        <f t="shared" si="21"/>
        <v>72.715570000000028</v>
      </c>
      <c r="H250" s="11" t="s">
        <v>581</v>
      </c>
      <c r="I250" s="8"/>
      <c r="K250" s="7">
        <f t="shared" ref="K250:K251" si="26">D250+8.5</f>
        <v>264.3</v>
      </c>
      <c r="L250">
        <f t="shared" si="20"/>
        <v>264.3</v>
      </c>
      <c r="M250" s="6"/>
      <c r="R250" s="7"/>
      <c r="S250" s="7"/>
    </row>
    <row r="251" spans="1:19" ht="28" x14ac:dyDescent="0.15">
      <c r="A251" s="8">
        <v>250</v>
      </c>
      <c r="B251" s="9" t="s">
        <v>140</v>
      </c>
      <c r="C251" s="9" t="s">
        <v>28</v>
      </c>
      <c r="D251" s="10">
        <v>203.31</v>
      </c>
      <c r="E251" s="10">
        <v>211.81</v>
      </c>
      <c r="F251" s="10">
        <v>29.35</v>
      </c>
      <c r="G251" s="9">
        <f t="shared" si="21"/>
        <v>72.927380000000028</v>
      </c>
      <c r="H251" s="11" t="s">
        <v>581</v>
      </c>
      <c r="I251" s="8"/>
      <c r="K251" s="7">
        <f t="shared" si="26"/>
        <v>211.81</v>
      </c>
      <c r="L251">
        <f t="shared" si="20"/>
        <v>211.81</v>
      </c>
      <c r="M251" s="6"/>
      <c r="R251" s="7"/>
      <c r="S251" s="7"/>
    </row>
    <row r="252" spans="1:19" ht="28" x14ac:dyDescent="0.15">
      <c r="A252" s="8">
        <v>251</v>
      </c>
      <c r="B252" s="9" t="s">
        <v>141</v>
      </c>
      <c r="C252" s="9" t="s">
        <v>23</v>
      </c>
      <c r="D252" s="10">
        <v>352.89</v>
      </c>
      <c r="E252" s="10">
        <v>352.89</v>
      </c>
      <c r="F252" s="10">
        <v>0.44</v>
      </c>
      <c r="G252" s="9">
        <f t="shared" si="21"/>
        <v>73.28027000000003</v>
      </c>
      <c r="H252" s="11" t="s">
        <v>581</v>
      </c>
      <c r="I252" s="8"/>
      <c r="L252">
        <f t="shared" si="20"/>
        <v>352.89</v>
      </c>
      <c r="M252" s="6"/>
      <c r="R252" s="7"/>
      <c r="S252" s="7"/>
    </row>
    <row r="253" spans="1:19" ht="28" x14ac:dyDescent="0.15">
      <c r="A253" s="8">
        <v>252</v>
      </c>
      <c r="B253" s="9" t="s">
        <v>142</v>
      </c>
      <c r="C253" s="9" t="s">
        <v>23</v>
      </c>
      <c r="D253" s="10">
        <v>351.42</v>
      </c>
      <c r="E253" s="10">
        <v>351.42</v>
      </c>
      <c r="F253" s="10">
        <v>7.0000000000000007E-2</v>
      </c>
      <c r="G253" s="9">
        <f t="shared" si="21"/>
        <v>73.631690000000035</v>
      </c>
      <c r="H253" s="11" t="s">
        <v>581</v>
      </c>
      <c r="I253" s="8"/>
      <c r="L253">
        <f t="shared" si="20"/>
        <v>351.42</v>
      </c>
      <c r="M253" s="6"/>
      <c r="R253" s="7"/>
      <c r="S253" s="7"/>
    </row>
    <row r="254" spans="1:19" ht="28" x14ac:dyDescent="0.15">
      <c r="A254" s="8">
        <v>253</v>
      </c>
      <c r="B254" s="9" t="s">
        <v>143</v>
      </c>
      <c r="C254" s="9" t="s">
        <v>19</v>
      </c>
      <c r="D254" s="10">
        <v>190.18</v>
      </c>
      <c r="E254" s="10">
        <v>198.68</v>
      </c>
      <c r="F254" s="10">
        <v>22.67</v>
      </c>
      <c r="G254" s="9">
        <f t="shared" si="21"/>
        <v>73.83037000000003</v>
      </c>
      <c r="H254" s="11" t="s">
        <v>581</v>
      </c>
      <c r="I254" s="8"/>
      <c r="K254" s="7">
        <f t="shared" ref="K254:K255" si="27">D254+8.5</f>
        <v>198.68</v>
      </c>
      <c r="L254">
        <f t="shared" si="20"/>
        <v>198.68</v>
      </c>
      <c r="M254" s="6"/>
      <c r="R254" s="7"/>
      <c r="S254" s="7"/>
    </row>
    <row r="255" spans="1:19" ht="28" x14ac:dyDescent="0.15">
      <c r="A255" s="8">
        <v>254</v>
      </c>
      <c r="B255" s="9" t="s">
        <v>144</v>
      </c>
      <c r="C255" s="9" t="s">
        <v>19</v>
      </c>
      <c r="D255" s="10">
        <v>42.84</v>
      </c>
      <c r="E255" s="10">
        <v>51.34</v>
      </c>
      <c r="F255" s="10">
        <v>19.98</v>
      </c>
      <c r="G255" s="9">
        <f t="shared" si="21"/>
        <v>73.881710000000027</v>
      </c>
      <c r="H255" s="11" t="s">
        <v>581</v>
      </c>
      <c r="I255" s="8"/>
      <c r="K255" s="7">
        <f t="shared" si="27"/>
        <v>51.34</v>
      </c>
      <c r="L255">
        <f t="shared" si="20"/>
        <v>51.34</v>
      </c>
      <c r="M255" s="6"/>
      <c r="R255" s="7"/>
      <c r="S255" s="7"/>
    </row>
    <row r="256" spans="1:19" ht="28" x14ac:dyDescent="0.15">
      <c r="A256" s="8">
        <v>255</v>
      </c>
      <c r="B256" s="9" t="s">
        <v>145</v>
      </c>
      <c r="C256" s="9" t="s">
        <v>10</v>
      </c>
      <c r="D256" s="10">
        <v>50.16</v>
      </c>
      <c r="E256" s="10">
        <v>50.16</v>
      </c>
      <c r="F256" s="10">
        <v>9.76</v>
      </c>
      <c r="G256" s="9">
        <f t="shared" si="21"/>
        <v>73.931870000000032</v>
      </c>
      <c r="H256" s="11" t="s">
        <v>581</v>
      </c>
      <c r="I256" s="8"/>
      <c r="L256">
        <f t="shared" si="20"/>
        <v>50.16</v>
      </c>
      <c r="M256" s="6"/>
      <c r="R256" s="7"/>
      <c r="S256" s="7"/>
    </row>
    <row r="257" spans="1:19" ht="28" x14ac:dyDescent="0.15">
      <c r="A257" s="8">
        <v>256</v>
      </c>
      <c r="B257" s="9" t="s">
        <v>146</v>
      </c>
      <c r="C257" s="9" t="s">
        <v>10</v>
      </c>
      <c r="D257" s="10">
        <v>79.430000000000007</v>
      </c>
      <c r="E257" s="10">
        <v>79.430000000000007</v>
      </c>
      <c r="F257" s="10">
        <v>9.42</v>
      </c>
      <c r="G257" s="9">
        <f t="shared" si="21"/>
        <v>74.011300000000034</v>
      </c>
      <c r="H257" s="11" t="s">
        <v>581</v>
      </c>
      <c r="I257" s="8"/>
      <c r="L257">
        <f t="shared" si="20"/>
        <v>79.430000000000007</v>
      </c>
      <c r="M257" s="6"/>
      <c r="R257" s="7"/>
      <c r="S257" s="7"/>
    </row>
    <row r="258" spans="1:19" ht="28" x14ac:dyDescent="0.15">
      <c r="A258" s="8">
        <v>257</v>
      </c>
      <c r="B258" s="9" t="s">
        <v>147</v>
      </c>
      <c r="C258" s="9" t="s">
        <v>19</v>
      </c>
      <c r="D258" s="10">
        <v>346.06</v>
      </c>
      <c r="E258" s="10">
        <v>354.56</v>
      </c>
      <c r="F258" s="10">
        <v>53.2</v>
      </c>
      <c r="G258" s="9">
        <f t="shared" si="21"/>
        <v>74.36586000000004</v>
      </c>
      <c r="H258" s="11" t="s">
        <v>581</v>
      </c>
      <c r="I258" s="8"/>
      <c r="K258" s="7">
        <f>D258+8.5</f>
        <v>354.56</v>
      </c>
      <c r="L258">
        <f t="shared" si="20"/>
        <v>354.56</v>
      </c>
      <c r="M258" s="6"/>
      <c r="R258" s="7"/>
      <c r="S258" s="7"/>
    </row>
    <row r="259" spans="1:19" ht="28" x14ac:dyDescent="0.15">
      <c r="A259" s="8">
        <v>258</v>
      </c>
      <c r="B259" s="9" t="s">
        <v>148</v>
      </c>
      <c r="C259" s="9" t="s">
        <v>23</v>
      </c>
      <c r="D259" s="10">
        <v>301.04000000000002</v>
      </c>
      <c r="E259" s="10">
        <v>301.04000000000002</v>
      </c>
      <c r="F259" s="10">
        <v>0.06</v>
      </c>
      <c r="G259" s="9">
        <f t="shared" si="21"/>
        <v>74.666900000000041</v>
      </c>
      <c r="H259" s="11" t="s">
        <v>581</v>
      </c>
      <c r="I259" s="8"/>
      <c r="L259">
        <f t="shared" ref="L259:L322" si="28">IF(K259&lt;&gt;"",K259,D259)</f>
        <v>301.04000000000002</v>
      </c>
      <c r="M259" s="6"/>
      <c r="R259" s="7"/>
      <c r="S259" s="7"/>
    </row>
    <row r="260" spans="1:19" ht="28" x14ac:dyDescent="0.15">
      <c r="A260" s="8">
        <v>259</v>
      </c>
      <c r="B260" s="9" t="s">
        <v>149</v>
      </c>
      <c r="C260" s="9" t="s">
        <v>23</v>
      </c>
      <c r="D260" s="10">
        <v>350.03</v>
      </c>
      <c r="E260" s="10">
        <v>350.03</v>
      </c>
      <c r="F260" s="10">
        <v>0.74</v>
      </c>
      <c r="G260" s="9">
        <f t="shared" ref="G260:G323" si="29">E260/1000+G259</f>
        <v>75.016930000000045</v>
      </c>
      <c r="H260" s="11" t="s">
        <v>581</v>
      </c>
      <c r="I260" s="8"/>
      <c r="L260">
        <f t="shared" si="28"/>
        <v>350.03</v>
      </c>
      <c r="M260" s="6"/>
      <c r="R260" s="7"/>
      <c r="S260" s="7"/>
    </row>
    <row r="261" spans="1:19" ht="28" x14ac:dyDescent="0.15">
      <c r="A261" s="8">
        <v>260</v>
      </c>
      <c r="B261" s="9" t="s">
        <v>150</v>
      </c>
      <c r="C261" s="9" t="s">
        <v>23</v>
      </c>
      <c r="D261" s="10">
        <v>356.38</v>
      </c>
      <c r="E261" s="10">
        <v>356.38</v>
      </c>
      <c r="F261" s="10">
        <v>2.2999999999999998</v>
      </c>
      <c r="G261" s="9">
        <f t="shared" si="29"/>
        <v>75.373310000000046</v>
      </c>
      <c r="H261" s="11" t="s">
        <v>581</v>
      </c>
      <c r="I261" s="8"/>
      <c r="L261">
        <f t="shared" si="28"/>
        <v>356.38</v>
      </c>
      <c r="M261" s="6"/>
      <c r="R261" s="7"/>
      <c r="S261" s="7"/>
    </row>
    <row r="262" spans="1:19" ht="28" x14ac:dyDescent="0.15">
      <c r="A262" s="8">
        <v>261</v>
      </c>
      <c r="B262" s="9" t="s">
        <v>151</v>
      </c>
      <c r="C262" s="9" t="s">
        <v>16</v>
      </c>
      <c r="D262" s="10">
        <v>268.95999999999998</v>
      </c>
      <c r="E262" s="10">
        <v>268.95999999999998</v>
      </c>
      <c r="F262" s="10">
        <v>13.74</v>
      </c>
      <c r="G262" s="9">
        <f t="shared" si="29"/>
        <v>75.642270000000053</v>
      </c>
      <c r="H262" s="11" t="s">
        <v>581</v>
      </c>
      <c r="I262" s="8"/>
      <c r="L262">
        <f t="shared" si="28"/>
        <v>268.95999999999998</v>
      </c>
      <c r="M262" s="6"/>
      <c r="R262" s="7"/>
      <c r="S262" s="7"/>
    </row>
    <row r="263" spans="1:19" ht="28" x14ac:dyDescent="0.15">
      <c r="A263" s="8">
        <v>262</v>
      </c>
      <c r="B263" s="9" t="s">
        <v>152</v>
      </c>
      <c r="C263" s="9" t="s">
        <v>16</v>
      </c>
      <c r="D263" s="10">
        <v>284.20999999999998</v>
      </c>
      <c r="E263" s="10">
        <v>284.20999999999998</v>
      </c>
      <c r="F263" s="10">
        <v>8.43</v>
      </c>
      <c r="G263" s="9">
        <f t="shared" si="29"/>
        <v>75.926480000000055</v>
      </c>
      <c r="H263" s="11" t="s">
        <v>581</v>
      </c>
      <c r="I263" s="8"/>
      <c r="L263">
        <f t="shared" si="28"/>
        <v>284.20999999999998</v>
      </c>
      <c r="M263" s="6"/>
      <c r="R263" s="7"/>
      <c r="S263" s="7"/>
    </row>
    <row r="264" spans="1:19" ht="28" x14ac:dyDescent="0.15">
      <c r="A264" s="8">
        <v>263</v>
      </c>
      <c r="B264" s="9" t="s">
        <v>153</v>
      </c>
      <c r="C264" s="9" t="s">
        <v>23</v>
      </c>
      <c r="D264" s="10">
        <v>296.14</v>
      </c>
      <c r="E264" s="10">
        <v>296.14</v>
      </c>
      <c r="F264" s="10">
        <v>0.31</v>
      </c>
      <c r="G264" s="9">
        <f t="shared" si="29"/>
        <v>76.222620000000049</v>
      </c>
      <c r="H264" s="11" t="s">
        <v>581</v>
      </c>
      <c r="I264" s="8"/>
      <c r="L264">
        <f t="shared" si="28"/>
        <v>296.14</v>
      </c>
      <c r="M264" s="6"/>
      <c r="R264" s="7"/>
      <c r="S264" s="7"/>
    </row>
    <row r="265" spans="1:19" ht="28" x14ac:dyDescent="0.15">
      <c r="A265" s="8">
        <v>264</v>
      </c>
      <c r="B265" s="9" t="s">
        <v>154</v>
      </c>
      <c r="C265" s="9" t="s">
        <v>23</v>
      </c>
      <c r="D265" s="10">
        <v>277.8</v>
      </c>
      <c r="E265" s="10">
        <v>277.8</v>
      </c>
      <c r="F265" s="10">
        <v>0.06</v>
      </c>
      <c r="G265" s="9">
        <f t="shared" si="29"/>
        <v>76.500420000000048</v>
      </c>
      <c r="H265" s="11" t="s">
        <v>581</v>
      </c>
      <c r="I265" s="8"/>
      <c r="L265">
        <f t="shared" si="28"/>
        <v>277.8</v>
      </c>
      <c r="M265" s="6"/>
      <c r="R265" s="7"/>
      <c r="S265" s="7"/>
    </row>
    <row r="266" spans="1:19" ht="28" x14ac:dyDescent="0.15">
      <c r="A266" s="8">
        <v>265</v>
      </c>
      <c r="B266" s="9" t="s">
        <v>155</v>
      </c>
      <c r="C266" s="9" t="s">
        <v>28</v>
      </c>
      <c r="D266" s="10">
        <v>285.08</v>
      </c>
      <c r="E266" s="10">
        <v>293.58</v>
      </c>
      <c r="F266" s="10">
        <v>14.75</v>
      </c>
      <c r="G266" s="9">
        <f t="shared" si="29"/>
        <v>76.794000000000054</v>
      </c>
      <c r="H266" s="11" t="s">
        <v>581</v>
      </c>
      <c r="I266" s="8"/>
      <c r="K266" s="7">
        <f>D266+8.5</f>
        <v>293.58</v>
      </c>
      <c r="L266">
        <f t="shared" si="28"/>
        <v>293.58</v>
      </c>
      <c r="M266" s="6"/>
      <c r="R266" s="7"/>
      <c r="S266" s="7"/>
    </row>
    <row r="267" spans="1:19" ht="28" x14ac:dyDescent="0.15">
      <c r="A267" s="8">
        <v>266</v>
      </c>
      <c r="B267" s="9" t="s">
        <v>156</v>
      </c>
      <c r="C267" s="9" t="s">
        <v>23</v>
      </c>
      <c r="D267" s="10">
        <v>251.79</v>
      </c>
      <c r="E267" s="10">
        <v>251.79</v>
      </c>
      <c r="F267" s="10">
        <v>0.18</v>
      </c>
      <c r="G267" s="9">
        <f t="shared" si="29"/>
        <v>77.045790000000054</v>
      </c>
      <c r="H267" s="11" t="s">
        <v>581</v>
      </c>
      <c r="I267" s="8"/>
      <c r="L267">
        <f t="shared" si="28"/>
        <v>251.79</v>
      </c>
      <c r="M267" s="6"/>
      <c r="R267" s="7"/>
      <c r="S267" s="7"/>
    </row>
    <row r="268" spans="1:19" ht="28" x14ac:dyDescent="0.15">
      <c r="A268" s="8">
        <v>267</v>
      </c>
      <c r="B268" s="9" t="s">
        <v>157</v>
      </c>
      <c r="C268" s="9" t="s">
        <v>16</v>
      </c>
      <c r="D268" s="10">
        <v>262.43</v>
      </c>
      <c r="E268" s="10">
        <v>262.43</v>
      </c>
      <c r="F268" s="10">
        <v>7.41</v>
      </c>
      <c r="G268" s="9">
        <f t="shared" si="29"/>
        <v>77.308220000000048</v>
      </c>
      <c r="H268" s="11" t="s">
        <v>581</v>
      </c>
      <c r="I268" s="8"/>
      <c r="L268">
        <f t="shared" si="28"/>
        <v>262.43</v>
      </c>
      <c r="M268" s="6"/>
      <c r="R268" s="7"/>
      <c r="S268" s="7"/>
    </row>
    <row r="269" spans="1:19" ht="28" x14ac:dyDescent="0.15">
      <c r="A269" s="8">
        <v>268</v>
      </c>
      <c r="B269" s="9" t="s">
        <v>158</v>
      </c>
      <c r="C269" s="9" t="s">
        <v>23</v>
      </c>
      <c r="D269" s="10">
        <v>249.38</v>
      </c>
      <c r="E269" s="10">
        <v>249.38</v>
      </c>
      <c r="F269" s="10">
        <v>0.2</v>
      </c>
      <c r="G269" s="9">
        <f t="shared" si="29"/>
        <v>77.55760000000005</v>
      </c>
      <c r="H269" s="11" t="s">
        <v>581</v>
      </c>
      <c r="I269" s="8"/>
      <c r="L269">
        <f t="shared" si="28"/>
        <v>249.38</v>
      </c>
      <c r="M269" s="6"/>
      <c r="R269" s="7"/>
      <c r="S269" s="7"/>
    </row>
    <row r="270" spans="1:19" ht="28" x14ac:dyDescent="0.15">
      <c r="A270" s="8">
        <v>269</v>
      </c>
      <c r="B270" s="9" t="s">
        <v>159</v>
      </c>
      <c r="C270" s="9" t="s">
        <v>23</v>
      </c>
      <c r="D270" s="10">
        <v>267.11</v>
      </c>
      <c r="E270" s="10">
        <v>267.11</v>
      </c>
      <c r="F270" s="10">
        <v>0.91</v>
      </c>
      <c r="G270" s="9">
        <f t="shared" si="29"/>
        <v>77.824710000000053</v>
      </c>
      <c r="H270" s="11" t="s">
        <v>581</v>
      </c>
      <c r="I270" s="8"/>
      <c r="L270">
        <f t="shared" si="28"/>
        <v>267.11</v>
      </c>
      <c r="M270" s="6"/>
      <c r="R270" s="7"/>
      <c r="S270" s="7"/>
    </row>
    <row r="271" spans="1:19" ht="28" x14ac:dyDescent="0.15">
      <c r="A271" s="8">
        <v>270</v>
      </c>
      <c r="B271" s="9" t="s">
        <v>160</v>
      </c>
      <c r="C271" s="9" t="s">
        <v>28</v>
      </c>
      <c r="D271" s="10">
        <v>254.78</v>
      </c>
      <c r="E271" s="10">
        <v>263.27999999999997</v>
      </c>
      <c r="F271" s="10">
        <v>14.84</v>
      </c>
      <c r="G271" s="9">
        <f t="shared" si="29"/>
        <v>78.087990000000048</v>
      </c>
      <c r="H271" s="11" t="s">
        <v>581</v>
      </c>
      <c r="I271" s="8"/>
      <c r="K271" s="7">
        <f>D271+8.5</f>
        <v>263.27999999999997</v>
      </c>
      <c r="L271">
        <f t="shared" si="28"/>
        <v>263.27999999999997</v>
      </c>
      <c r="M271" s="6"/>
      <c r="R271" s="7"/>
      <c r="S271" s="7"/>
    </row>
    <row r="272" spans="1:19" ht="28" x14ac:dyDescent="0.15">
      <c r="A272" s="8">
        <v>271</v>
      </c>
      <c r="B272" s="9" t="s">
        <v>161</v>
      </c>
      <c r="C272" s="9" t="s">
        <v>16</v>
      </c>
      <c r="D272" s="10">
        <v>254.87</v>
      </c>
      <c r="E272" s="10">
        <v>254.87</v>
      </c>
      <c r="F272" s="10">
        <v>5.04</v>
      </c>
      <c r="G272" s="9">
        <f t="shared" si="29"/>
        <v>78.342860000000044</v>
      </c>
      <c r="H272" s="11" t="s">
        <v>581</v>
      </c>
      <c r="I272" s="8"/>
      <c r="L272">
        <f t="shared" si="28"/>
        <v>254.87</v>
      </c>
      <c r="M272" s="6"/>
      <c r="R272" s="7"/>
      <c r="S272" s="7"/>
    </row>
    <row r="273" spans="1:19" ht="28" x14ac:dyDescent="0.15">
      <c r="A273" s="8">
        <v>272</v>
      </c>
      <c r="B273" s="9" t="s">
        <v>162</v>
      </c>
      <c r="C273" s="9" t="s">
        <v>23</v>
      </c>
      <c r="D273" s="10">
        <v>259.54000000000002</v>
      </c>
      <c r="E273" s="10">
        <v>259.54000000000002</v>
      </c>
      <c r="F273" s="10">
        <v>2.6</v>
      </c>
      <c r="G273" s="9">
        <f t="shared" si="29"/>
        <v>78.602400000000046</v>
      </c>
      <c r="H273" s="11" t="s">
        <v>581</v>
      </c>
      <c r="I273" s="8"/>
      <c r="L273">
        <f t="shared" si="28"/>
        <v>259.54000000000002</v>
      </c>
      <c r="M273" s="6"/>
      <c r="R273" s="7"/>
      <c r="S273" s="7"/>
    </row>
    <row r="274" spans="1:19" ht="28" x14ac:dyDescent="0.15">
      <c r="A274" s="8">
        <v>273</v>
      </c>
      <c r="B274" s="9" t="s">
        <v>163</v>
      </c>
      <c r="C274" s="9" t="s">
        <v>23</v>
      </c>
      <c r="D274" s="10">
        <v>259.36</v>
      </c>
      <c r="E274" s="10">
        <v>259.36</v>
      </c>
      <c r="F274" s="10">
        <v>1.48</v>
      </c>
      <c r="G274" s="9">
        <f t="shared" si="29"/>
        <v>78.861760000000046</v>
      </c>
      <c r="H274" s="11" t="s">
        <v>581</v>
      </c>
      <c r="I274" s="8"/>
      <c r="L274">
        <f t="shared" si="28"/>
        <v>259.36</v>
      </c>
      <c r="M274" s="6"/>
      <c r="R274" s="7"/>
      <c r="S274" s="7"/>
    </row>
    <row r="275" spans="1:19" ht="28" x14ac:dyDescent="0.15">
      <c r="A275" s="8">
        <v>274</v>
      </c>
      <c r="B275" s="9" t="s">
        <v>164</v>
      </c>
      <c r="C275" s="9" t="s">
        <v>19</v>
      </c>
      <c r="D275" s="10">
        <v>276.39999999999998</v>
      </c>
      <c r="E275" s="10">
        <v>284.89999999999998</v>
      </c>
      <c r="F275" s="10">
        <v>40.82</v>
      </c>
      <c r="G275" s="9">
        <f t="shared" si="29"/>
        <v>79.14666000000004</v>
      </c>
      <c r="H275" s="11" t="s">
        <v>581</v>
      </c>
      <c r="I275" s="8"/>
      <c r="K275" s="7">
        <f>D275+8.5</f>
        <v>284.89999999999998</v>
      </c>
      <c r="L275">
        <f t="shared" si="28"/>
        <v>284.89999999999998</v>
      </c>
      <c r="M275" s="6"/>
      <c r="R275" s="7"/>
      <c r="S275" s="7"/>
    </row>
    <row r="276" spans="1:19" ht="28" x14ac:dyDescent="0.15">
      <c r="A276" s="8">
        <v>275</v>
      </c>
      <c r="B276" s="9" t="s">
        <v>165</v>
      </c>
      <c r="C276" s="9" t="s">
        <v>23</v>
      </c>
      <c r="D276" s="10">
        <v>275.56</v>
      </c>
      <c r="E276" s="10">
        <v>275.56</v>
      </c>
      <c r="F276" s="10">
        <v>0.28000000000000003</v>
      </c>
      <c r="G276" s="9">
        <f t="shared" si="29"/>
        <v>79.422220000000038</v>
      </c>
      <c r="H276" s="11" t="s">
        <v>581</v>
      </c>
      <c r="I276" s="8"/>
      <c r="L276">
        <f t="shared" si="28"/>
        <v>275.56</v>
      </c>
      <c r="M276" s="6"/>
      <c r="R276" s="7"/>
      <c r="S276" s="7"/>
    </row>
    <row r="277" spans="1:19" ht="28" x14ac:dyDescent="0.15">
      <c r="A277" s="8">
        <v>276</v>
      </c>
      <c r="B277" s="9" t="s">
        <v>166</v>
      </c>
      <c r="C277" s="9" t="s">
        <v>23</v>
      </c>
      <c r="D277" s="10">
        <v>292.01</v>
      </c>
      <c r="E277" s="10">
        <v>292.01</v>
      </c>
      <c r="F277" s="10">
        <v>0.64</v>
      </c>
      <c r="G277" s="9">
        <f t="shared" si="29"/>
        <v>79.714230000000043</v>
      </c>
      <c r="H277" s="11" t="s">
        <v>581</v>
      </c>
      <c r="I277" s="8"/>
      <c r="L277">
        <f t="shared" si="28"/>
        <v>292.01</v>
      </c>
      <c r="M277" s="6"/>
      <c r="R277" s="7"/>
      <c r="S277" s="7"/>
    </row>
    <row r="278" spans="1:19" ht="28" x14ac:dyDescent="0.15">
      <c r="A278" s="8">
        <v>277</v>
      </c>
      <c r="B278" s="9" t="s">
        <v>167</v>
      </c>
      <c r="C278" s="9" t="s">
        <v>28</v>
      </c>
      <c r="D278" s="10">
        <v>275.49</v>
      </c>
      <c r="E278" s="10">
        <v>283.99</v>
      </c>
      <c r="F278" s="10">
        <v>25.29</v>
      </c>
      <c r="G278" s="9">
        <f t="shared" si="29"/>
        <v>79.998220000000046</v>
      </c>
      <c r="H278" s="11" t="s">
        <v>581</v>
      </c>
      <c r="I278" s="8"/>
      <c r="K278" s="7">
        <f>D278+8.5</f>
        <v>283.99</v>
      </c>
      <c r="L278">
        <f t="shared" si="28"/>
        <v>283.99</v>
      </c>
      <c r="M278" s="6"/>
      <c r="R278" s="7"/>
      <c r="S278" s="7"/>
    </row>
    <row r="279" spans="1:19" ht="28" x14ac:dyDescent="0.15">
      <c r="A279" s="8">
        <v>278</v>
      </c>
      <c r="B279" s="9" t="s">
        <v>168</v>
      </c>
      <c r="C279" s="9" t="s">
        <v>23</v>
      </c>
      <c r="D279" s="10">
        <v>203.7</v>
      </c>
      <c r="E279" s="10">
        <v>203.7</v>
      </c>
      <c r="F279" s="10">
        <v>0.15</v>
      </c>
      <c r="G279" s="9">
        <f t="shared" si="29"/>
        <v>80.201920000000044</v>
      </c>
      <c r="H279" s="11" t="s">
        <v>581</v>
      </c>
      <c r="I279" s="8"/>
      <c r="L279">
        <f t="shared" si="28"/>
        <v>203.7</v>
      </c>
      <c r="M279" s="6"/>
      <c r="R279" s="7"/>
      <c r="S279" s="7"/>
    </row>
    <row r="280" spans="1:19" ht="28" x14ac:dyDescent="0.15">
      <c r="A280" s="8">
        <v>279</v>
      </c>
      <c r="B280" s="9" t="s">
        <v>169</v>
      </c>
      <c r="C280" s="9" t="s">
        <v>19</v>
      </c>
      <c r="D280" s="10">
        <v>261.86</v>
      </c>
      <c r="E280" s="10">
        <v>270.36</v>
      </c>
      <c r="F280" s="10">
        <v>59.43</v>
      </c>
      <c r="G280" s="9">
        <f t="shared" si="29"/>
        <v>80.47228000000004</v>
      </c>
      <c r="H280" s="11" t="s">
        <v>581</v>
      </c>
      <c r="I280" s="8"/>
      <c r="K280" s="7">
        <f>D280+8.5</f>
        <v>270.36</v>
      </c>
      <c r="L280">
        <f t="shared" si="28"/>
        <v>270.36</v>
      </c>
      <c r="M280" s="6"/>
      <c r="R280" s="7"/>
      <c r="S280" s="7"/>
    </row>
    <row r="281" spans="1:19" ht="28" x14ac:dyDescent="0.15">
      <c r="A281" s="8">
        <v>280</v>
      </c>
      <c r="B281" s="9" t="s">
        <v>170</v>
      </c>
      <c r="C281" s="9" t="s">
        <v>23</v>
      </c>
      <c r="D281" s="10">
        <v>179.17</v>
      </c>
      <c r="E281" s="10">
        <v>179.17</v>
      </c>
      <c r="F281" s="10">
        <v>0.34</v>
      </c>
      <c r="G281" s="9">
        <f t="shared" si="29"/>
        <v>80.65145000000004</v>
      </c>
      <c r="H281" s="11" t="s">
        <v>581</v>
      </c>
      <c r="I281" s="8"/>
      <c r="L281">
        <f t="shared" si="28"/>
        <v>179.17</v>
      </c>
      <c r="M281" s="6"/>
      <c r="R281" s="7"/>
      <c r="S281" s="7"/>
    </row>
    <row r="282" spans="1:19" ht="28" x14ac:dyDescent="0.15">
      <c r="A282" s="8">
        <v>281</v>
      </c>
      <c r="B282" s="9" t="s">
        <v>171</v>
      </c>
      <c r="C282" s="9" t="s">
        <v>19</v>
      </c>
      <c r="D282" s="10">
        <v>230.87</v>
      </c>
      <c r="E282" s="10">
        <v>239.37</v>
      </c>
      <c r="F282" s="10">
        <v>41.09</v>
      </c>
      <c r="G282" s="9">
        <f t="shared" si="29"/>
        <v>80.890820000000033</v>
      </c>
      <c r="H282" s="11" t="s">
        <v>581</v>
      </c>
      <c r="I282" s="8"/>
      <c r="K282" s="7">
        <f t="shared" ref="K282:K284" si="30">D282+8.5</f>
        <v>239.37</v>
      </c>
      <c r="L282">
        <f t="shared" si="28"/>
        <v>239.37</v>
      </c>
      <c r="M282" s="6"/>
      <c r="R282" s="7"/>
      <c r="S282" s="7"/>
    </row>
    <row r="283" spans="1:19" ht="28" x14ac:dyDescent="0.15">
      <c r="A283" s="8">
        <v>282</v>
      </c>
      <c r="B283" s="9" t="s">
        <v>172</v>
      </c>
      <c r="C283" s="9" t="s">
        <v>19</v>
      </c>
      <c r="D283" s="10">
        <v>315.62</v>
      </c>
      <c r="E283" s="10">
        <v>324.12</v>
      </c>
      <c r="F283" s="10">
        <v>54.53</v>
      </c>
      <c r="G283" s="9">
        <f t="shared" si="29"/>
        <v>81.214940000000027</v>
      </c>
      <c r="H283" s="11" t="s">
        <v>581</v>
      </c>
      <c r="I283" s="8"/>
      <c r="K283" s="7">
        <f t="shared" si="30"/>
        <v>324.12</v>
      </c>
      <c r="L283">
        <f t="shared" si="28"/>
        <v>324.12</v>
      </c>
      <c r="M283" s="6"/>
      <c r="R283" s="7"/>
      <c r="S283" s="7"/>
    </row>
    <row r="284" spans="1:19" ht="28" x14ac:dyDescent="0.15">
      <c r="A284" s="8">
        <v>283</v>
      </c>
      <c r="B284" s="9" t="s">
        <v>173</v>
      </c>
      <c r="C284" s="9" t="s">
        <v>28</v>
      </c>
      <c r="D284" s="10">
        <v>214.08</v>
      </c>
      <c r="E284" s="10">
        <v>222.58</v>
      </c>
      <c r="F284" s="10">
        <v>28.15</v>
      </c>
      <c r="G284" s="9">
        <f t="shared" si="29"/>
        <v>81.437520000000021</v>
      </c>
      <c r="H284" s="11" t="s">
        <v>581</v>
      </c>
      <c r="I284" s="8"/>
      <c r="K284" s="7">
        <f t="shared" si="30"/>
        <v>222.58</v>
      </c>
      <c r="L284">
        <f t="shared" si="28"/>
        <v>222.58</v>
      </c>
      <c r="M284" s="6"/>
      <c r="R284" s="7"/>
      <c r="S284" s="7"/>
    </row>
    <row r="285" spans="1:19" ht="28" x14ac:dyDescent="0.15">
      <c r="A285" s="8">
        <v>284</v>
      </c>
      <c r="B285" s="9" t="s">
        <v>174</v>
      </c>
      <c r="C285" s="9" t="s">
        <v>23</v>
      </c>
      <c r="D285" s="10">
        <v>303.45</v>
      </c>
      <c r="E285" s="10">
        <v>303.45</v>
      </c>
      <c r="F285" s="10">
        <v>0.08</v>
      </c>
      <c r="G285" s="9">
        <f t="shared" si="29"/>
        <v>81.740970000000019</v>
      </c>
      <c r="H285" s="11" t="s">
        <v>581</v>
      </c>
      <c r="I285" s="8"/>
      <c r="L285">
        <f t="shared" si="28"/>
        <v>303.45</v>
      </c>
      <c r="M285" s="6"/>
      <c r="R285" s="7"/>
      <c r="S285" s="7"/>
    </row>
    <row r="286" spans="1:19" ht="28" x14ac:dyDescent="0.15">
      <c r="A286" s="8">
        <v>285</v>
      </c>
      <c r="B286" s="9" t="s">
        <v>175</v>
      </c>
      <c r="C286" s="9" t="s">
        <v>23</v>
      </c>
      <c r="D286" s="10">
        <v>338.55</v>
      </c>
      <c r="E286" s="10">
        <v>338.55</v>
      </c>
      <c r="F286" s="10">
        <v>0.23</v>
      </c>
      <c r="G286" s="9">
        <f t="shared" si="29"/>
        <v>82.079520000000016</v>
      </c>
      <c r="H286" s="11" t="s">
        <v>581</v>
      </c>
      <c r="I286" s="8"/>
      <c r="L286">
        <f t="shared" si="28"/>
        <v>338.55</v>
      </c>
      <c r="M286" s="6"/>
      <c r="R286" s="7"/>
      <c r="S286" s="7"/>
    </row>
    <row r="287" spans="1:19" ht="28" x14ac:dyDescent="0.15">
      <c r="A287" s="8">
        <v>286</v>
      </c>
      <c r="B287" s="9" t="s">
        <v>176</v>
      </c>
      <c r="C287" s="9" t="s">
        <v>19</v>
      </c>
      <c r="D287" s="10">
        <v>217.38</v>
      </c>
      <c r="E287" s="10">
        <v>225.88</v>
      </c>
      <c r="F287" s="10">
        <v>30.58</v>
      </c>
      <c r="G287" s="9">
        <f t="shared" si="29"/>
        <v>82.30540000000002</v>
      </c>
      <c r="H287" s="11" t="s">
        <v>581</v>
      </c>
      <c r="I287" s="8"/>
      <c r="K287" s="7">
        <f t="shared" ref="K287:K289" si="31">D287+8.5</f>
        <v>225.88</v>
      </c>
      <c r="L287">
        <f t="shared" si="28"/>
        <v>225.88</v>
      </c>
      <c r="M287" s="6"/>
      <c r="R287" s="7"/>
      <c r="S287" s="7"/>
    </row>
    <row r="288" spans="1:19" ht="28" x14ac:dyDescent="0.15">
      <c r="A288" s="8">
        <v>287</v>
      </c>
      <c r="B288" s="9" t="s">
        <v>177</v>
      </c>
      <c r="C288" s="9" t="s">
        <v>19</v>
      </c>
      <c r="D288" s="10">
        <v>313.27999999999997</v>
      </c>
      <c r="E288" s="10">
        <v>321.77999999999997</v>
      </c>
      <c r="F288" s="10">
        <v>19.5</v>
      </c>
      <c r="G288" s="9">
        <f t="shared" si="29"/>
        <v>82.627180000000024</v>
      </c>
      <c r="H288" s="11" t="s">
        <v>581</v>
      </c>
      <c r="I288" s="8"/>
      <c r="K288" s="7">
        <f t="shared" si="31"/>
        <v>321.77999999999997</v>
      </c>
      <c r="L288">
        <f t="shared" si="28"/>
        <v>321.77999999999997</v>
      </c>
      <c r="M288" s="6"/>
      <c r="R288" s="7"/>
      <c r="S288" s="7"/>
    </row>
    <row r="289" spans="1:19" ht="28" x14ac:dyDescent="0.15">
      <c r="A289" s="8">
        <v>288</v>
      </c>
      <c r="B289" s="9" t="s">
        <v>178</v>
      </c>
      <c r="C289" s="9" t="s">
        <v>28</v>
      </c>
      <c r="D289" s="10">
        <v>379.26</v>
      </c>
      <c r="E289" s="10">
        <v>387.76</v>
      </c>
      <c r="F289" s="9">
        <v>11.433599063372</v>
      </c>
      <c r="G289" s="9">
        <f t="shared" si="29"/>
        <v>83.014940000000024</v>
      </c>
      <c r="H289" s="11" t="s">
        <v>581</v>
      </c>
      <c r="I289" s="8"/>
      <c r="K289" s="7">
        <f t="shared" si="31"/>
        <v>387.76</v>
      </c>
      <c r="L289">
        <f t="shared" si="28"/>
        <v>387.76</v>
      </c>
      <c r="M289" s="6"/>
      <c r="R289" s="7"/>
    </row>
    <row r="290" spans="1:19" ht="28" x14ac:dyDescent="0.15">
      <c r="A290" s="8">
        <v>289</v>
      </c>
      <c r="B290" s="9" t="s">
        <v>179</v>
      </c>
      <c r="C290" s="9" t="s">
        <v>23</v>
      </c>
      <c r="D290" s="10">
        <v>264.39</v>
      </c>
      <c r="E290" s="10">
        <v>264.39</v>
      </c>
      <c r="F290" s="9">
        <v>0.96087858924427405</v>
      </c>
      <c r="G290" s="9">
        <f t="shared" si="29"/>
        <v>83.27933000000003</v>
      </c>
      <c r="H290" s="11" t="s">
        <v>581</v>
      </c>
      <c r="I290" s="8"/>
      <c r="L290">
        <f t="shared" si="28"/>
        <v>264.39</v>
      </c>
      <c r="M290" s="6"/>
      <c r="R290" s="7"/>
    </row>
    <row r="291" spans="1:19" ht="28" x14ac:dyDescent="0.15">
      <c r="A291" s="8">
        <v>290</v>
      </c>
      <c r="B291" s="9" t="s">
        <v>180</v>
      </c>
      <c r="C291" s="9" t="s">
        <v>19</v>
      </c>
      <c r="D291" s="10">
        <v>172.18</v>
      </c>
      <c r="E291" s="10">
        <v>180.68</v>
      </c>
      <c r="F291" s="9">
        <v>28.977741798259601</v>
      </c>
      <c r="G291" s="9">
        <f t="shared" si="29"/>
        <v>83.460010000000025</v>
      </c>
      <c r="H291" s="11" t="s">
        <v>581</v>
      </c>
      <c r="I291" s="8"/>
      <c r="K291" s="7">
        <f t="shared" ref="K291:K293" si="32">D291+8.5</f>
        <v>180.68</v>
      </c>
      <c r="L291">
        <f t="shared" si="28"/>
        <v>180.68</v>
      </c>
      <c r="M291" s="6"/>
      <c r="R291" s="7"/>
    </row>
    <row r="292" spans="1:19" ht="28" x14ac:dyDescent="0.15">
      <c r="A292" s="8">
        <v>291</v>
      </c>
      <c r="B292" s="9" t="s">
        <v>681</v>
      </c>
      <c r="C292" s="9" t="s">
        <v>19</v>
      </c>
      <c r="D292" s="10">
        <v>337.38</v>
      </c>
      <c r="E292" s="10">
        <v>345.88</v>
      </c>
      <c r="F292" s="10">
        <v>2.5099999999999998</v>
      </c>
      <c r="G292" s="9">
        <f t="shared" si="29"/>
        <v>83.805890000000019</v>
      </c>
      <c r="H292" s="11" t="s">
        <v>581</v>
      </c>
      <c r="I292" s="8"/>
      <c r="K292" s="7">
        <f t="shared" si="32"/>
        <v>345.88</v>
      </c>
      <c r="L292">
        <f t="shared" si="28"/>
        <v>345.88</v>
      </c>
      <c r="M292" s="6"/>
      <c r="R292" s="7"/>
      <c r="S292" s="7"/>
    </row>
    <row r="293" spans="1:19" ht="28" x14ac:dyDescent="0.15">
      <c r="A293" s="8">
        <v>292</v>
      </c>
      <c r="B293" s="9" t="s">
        <v>182</v>
      </c>
      <c r="C293" s="9" t="s">
        <v>19</v>
      </c>
      <c r="D293" s="10">
        <v>273.45999999999998</v>
      </c>
      <c r="E293" s="10">
        <v>281.95999999999998</v>
      </c>
      <c r="F293" s="10">
        <v>57.55</v>
      </c>
      <c r="G293" s="9">
        <f t="shared" si="29"/>
        <v>84.087850000000017</v>
      </c>
      <c r="H293" s="11" t="s">
        <v>581</v>
      </c>
      <c r="I293" s="8"/>
      <c r="K293" s="7">
        <f t="shared" si="32"/>
        <v>281.95999999999998</v>
      </c>
      <c r="L293">
        <f t="shared" si="28"/>
        <v>281.95999999999998</v>
      </c>
      <c r="M293" s="6"/>
      <c r="R293" s="7"/>
      <c r="S293" s="7"/>
    </row>
    <row r="294" spans="1:19" ht="28" x14ac:dyDescent="0.15">
      <c r="A294" s="8">
        <v>293</v>
      </c>
      <c r="B294" s="9" t="s">
        <v>183</v>
      </c>
      <c r="C294" s="9" t="s">
        <v>23</v>
      </c>
      <c r="D294" s="10">
        <v>200.62</v>
      </c>
      <c r="E294" s="10">
        <v>200.62</v>
      </c>
      <c r="F294" s="10">
        <v>1.29</v>
      </c>
      <c r="G294" s="9">
        <f t="shared" si="29"/>
        <v>84.288470000000018</v>
      </c>
      <c r="H294" s="11" t="s">
        <v>581</v>
      </c>
      <c r="I294" s="8"/>
      <c r="L294">
        <f t="shared" si="28"/>
        <v>200.62</v>
      </c>
      <c r="M294" s="6"/>
      <c r="R294" s="7"/>
      <c r="S294" s="7"/>
    </row>
    <row r="295" spans="1:19" ht="28" x14ac:dyDescent="0.15">
      <c r="A295" s="8">
        <v>294</v>
      </c>
      <c r="B295" s="9" t="s">
        <v>184</v>
      </c>
      <c r="C295" s="9" t="s">
        <v>19</v>
      </c>
      <c r="D295" s="10">
        <v>238.64</v>
      </c>
      <c r="E295" s="10">
        <v>247.14</v>
      </c>
      <c r="F295" s="10">
        <v>46.55</v>
      </c>
      <c r="G295" s="9">
        <f t="shared" si="29"/>
        <v>84.53561000000002</v>
      </c>
      <c r="H295" s="11" t="s">
        <v>581</v>
      </c>
      <c r="I295" s="8"/>
      <c r="K295" s="7">
        <f>D295+8.5</f>
        <v>247.14</v>
      </c>
      <c r="L295">
        <f t="shared" si="28"/>
        <v>247.14</v>
      </c>
      <c r="M295" s="6"/>
      <c r="R295" s="7"/>
      <c r="S295" s="7"/>
    </row>
    <row r="296" spans="1:19" ht="28" x14ac:dyDescent="0.15">
      <c r="A296" s="8">
        <v>295</v>
      </c>
      <c r="B296" s="9" t="s">
        <v>185</v>
      </c>
      <c r="C296" s="9" t="s">
        <v>23</v>
      </c>
      <c r="D296" s="10">
        <v>200.56</v>
      </c>
      <c r="E296" s="10">
        <v>200.56</v>
      </c>
      <c r="F296" s="10">
        <v>2.59</v>
      </c>
      <c r="G296" s="9">
        <f t="shared" si="29"/>
        <v>84.736170000000016</v>
      </c>
      <c r="H296" s="11" t="s">
        <v>581</v>
      </c>
      <c r="I296" s="8"/>
      <c r="L296">
        <f t="shared" si="28"/>
        <v>200.56</v>
      </c>
      <c r="M296" s="6"/>
      <c r="R296" s="7"/>
      <c r="S296" s="7"/>
    </row>
    <row r="297" spans="1:19" ht="28" x14ac:dyDescent="0.15">
      <c r="A297" s="8">
        <v>296</v>
      </c>
      <c r="B297" s="9" t="s">
        <v>186</v>
      </c>
      <c r="C297" s="9" t="s">
        <v>28</v>
      </c>
      <c r="D297" s="10">
        <v>347.28</v>
      </c>
      <c r="E297" s="10">
        <v>355.78</v>
      </c>
      <c r="F297" s="10">
        <v>23.51</v>
      </c>
      <c r="G297" s="9">
        <f t="shared" si="29"/>
        <v>85.091950000000011</v>
      </c>
      <c r="H297" s="11" t="s">
        <v>581</v>
      </c>
      <c r="I297" s="8"/>
      <c r="K297" s="7">
        <f>D297+8.5</f>
        <v>355.78</v>
      </c>
      <c r="L297">
        <f t="shared" si="28"/>
        <v>355.78</v>
      </c>
      <c r="M297" s="6"/>
      <c r="R297" s="7"/>
      <c r="S297" s="7"/>
    </row>
    <row r="298" spans="1:19" ht="28" x14ac:dyDescent="0.15">
      <c r="A298" s="8">
        <v>297</v>
      </c>
      <c r="B298" s="9" t="s">
        <v>187</v>
      </c>
      <c r="C298" s="9" t="s">
        <v>23</v>
      </c>
      <c r="D298" s="10">
        <v>244.32</v>
      </c>
      <c r="E298" s="10">
        <v>244.32</v>
      </c>
      <c r="F298" s="10">
        <v>0.36</v>
      </c>
      <c r="G298" s="9">
        <f t="shared" si="29"/>
        <v>85.336270000000013</v>
      </c>
      <c r="H298" s="11" t="s">
        <v>581</v>
      </c>
      <c r="I298" s="8"/>
      <c r="L298">
        <f t="shared" si="28"/>
        <v>244.32</v>
      </c>
      <c r="M298" s="6"/>
      <c r="R298" s="7"/>
      <c r="S298" s="7"/>
    </row>
    <row r="299" spans="1:19" ht="28" x14ac:dyDescent="0.15">
      <c r="A299" s="8">
        <v>298</v>
      </c>
      <c r="B299" s="9" t="s">
        <v>188</v>
      </c>
      <c r="C299" s="9" t="s">
        <v>23</v>
      </c>
      <c r="D299" s="10">
        <v>395.19</v>
      </c>
      <c r="E299" s="10">
        <v>395.19</v>
      </c>
      <c r="F299" s="10">
        <v>0.38</v>
      </c>
      <c r="G299" s="9">
        <f t="shared" si="29"/>
        <v>85.731460000000013</v>
      </c>
      <c r="H299" s="11" t="s">
        <v>581</v>
      </c>
      <c r="I299" s="8"/>
      <c r="L299">
        <f t="shared" si="28"/>
        <v>395.19</v>
      </c>
      <c r="M299" s="6"/>
      <c r="R299" s="7"/>
      <c r="S299" s="7"/>
    </row>
    <row r="300" spans="1:19" ht="28" x14ac:dyDescent="0.15">
      <c r="A300" s="8">
        <v>299</v>
      </c>
      <c r="B300" s="9" t="s">
        <v>189</v>
      </c>
      <c r="C300" s="9" t="s">
        <v>16</v>
      </c>
      <c r="D300" s="10">
        <v>265.45999999999998</v>
      </c>
      <c r="E300" s="10">
        <v>265.45999999999998</v>
      </c>
      <c r="F300" s="10">
        <v>0.51</v>
      </c>
      <c r="G300" s="9">
        <f t="shared" si="29"/>
        <v>85.996920000000017</v>
      </c>
      <c r="H300" s="11" t="s">
        <v>581</v>
      </c>
      <c r="I300" s="8"/>
      <c r="L300">
        <f t="shared" si="28"/>
        <v>265.45999999999998</v>
      </c>
      <c r="M300" s="6"/>
      <c r="R300" s="7"/>
      <c r="S300" s="7"/>
    </row>
    <row r="301" spans="1:19" ht="28" x14ac:dyDescent="0.15">
      <c r="A301" s="8">
        <v>300</v>
      </c>
      <c r="B301" s="9" t="s">
        <v>190</v>
      </c>
      <c r="C301" s="9" t="s">
        <v>23</v>
      </c>
      <c r="D301" s="10">
        <v>234.03</v>
      </c>
      <c r="E301" s="10">
        <v>234.03</v>
      </c>
      <c r="F301" s="10">
        <v>1.19</v>
      </c>
      <c r="G301" s="9">
        <f t="shared" si="29"/>
        <v>86.230950000000021</v>
      </c>
      <c r="H301" s="11" t="s">
        <v>581</v>
      </c>
      <c r="I301" s="8"/>
      <c r="L301">
        <f t="shared" si="28"/>
        <v>234.03</v>
      </c>
      <c r="M301" s="6"/>
      <c r="R301" s="7"/>
      <c r="S301" s="7"/>
    </row>
    <row r="302" spans="1:19" ht="28" x14ac:dyDescent="0.15">
      <c r="A302" s="8">
        <v>301</v>
      </c>
      <c r="B302" s="9" t="s">
        <v>191</v>
      </c>
      <c r="C302" s="9" t="s">
        <v>14</v>
      </c>
      <c r="D302" s="10">
        <v>27.7</v>
      </c>
      <c r="E302" s="10">
        <v>36.200000000000003</v>
      </c>
      <c r="F302" s="10">
        <v>63.66</v>
      </c>
      <c r="G302" s="9">
        <f t="shared" si="29"/>
        <v>86.267150000000015</v>
      </c>
      <c r="H302" s="11" t="s">
        <v>581</v>
      </c>
      <c r="I302" s="8"/>
      <c r="K302" s="7">
        <f>D302+8.5</f>
        <v>36.200000000000003</v>
      </c>
      <c r="L302">
        <f t="shared" si="28"/>
        <v>36.200000000000003</v>
      </c>
      <c r="M302" s="6"/>
      <c r="R302" s="7"/>
      <c r="S302" s="7"/>
    </row>
    <row r="303" spans="1:19" ht="28" x14ac:dyDescent="0.15">
      <c r="A303" s="8">
        <v>302</v>
      </c>
      <c r="B303" s="9" t="s">
        <v>192</v>
      </c>
      <c r="C303" s="9" t="s">
        <v>10</v>
      </c>
      <c r="D303" s="10">
        <v>65.45</v>
      </c>
      <c r="E303" s="10">
        <v>65.45</v>
      </c>
      <c r="F303" s="10">
        <v>0.98</v>
      </c>
      <c r="G303" s="9">
        <f t="shared" si="29"/>
        <v>86.332600000000014</v>
      </c>
      <c r="H303" s="11" t="s">
        <v>581</v>
      </c>
      <c r="I303" s="8"/>
      <c r="L303">
        <f t="shared" si="28"/>
        <v>65.45</v>
      </c>
      <c r="M303" s="6"/>
      <c r="R303" s="7"/>
      <c r="S303" s="7"/>
    </row>
    <row r="304" spans="1:19" ht="28" x14ac:dyDescent="0.15">
      <c r="A304" s="8">
        <v>303</v>
      </c>
      <c r="B304" s="9" t="s">
        <v>193</v>
      </c>
      <c r="C304" s="9" t="s">
        <v>10</v>
      </c>
      <c r="D304" s="10">
        <v>26.81</v>
      </c>
      <c r="E304" s="10">
        <v>26.81</v>
      </c>
      <c r="F304" s="10">
        <v>0.05</v>
      </c>
      <c r="G304" s="9">
        <f t="shared" si="29"/>
        <v>86.359410000000011</v>
      </c>
      <c r="H304" s="11" t="s">
        <v>581</v>
      </c>
      <c r="I304" s="8"/>
      <c r="L304">
        <f t="shared" si="28"/>
        <v>26.81</v>
      </c>
      <c r="M304" s="6"/>
      <c r="R304" s="7"/>
      <c r="S304" s="7"/>
    </row>
    <row r="305" spans="1:19" ht="28" x14ac:dyDescent="0.15">
      <c r="A305" s="8">
        <v>304</v>
      </c>
      <c r="B305" s="9" t="s">
        <v>194</v>
      </c>
      <c r="C305" s="9" t="s">
        <v>14</v>
      </c>
      <c r="D305" s="10">
        <v>265.16000000000003</v>
      </c>
      <c r="E305" s="10">
        <v>273.66000000000003</v>
      </c>
      <c r="F305" s="10">
        <v>69.84</v>
      </c>
      <c r="G305" s="9">
        <f t="shared" si="29"/>
        <v>86.633070000000018</v>
      </c>
      <c r="H305" s="11" t="s">
        <v>581</v>
      </c>
      <c r="I305" s="8"/>
      <c r="K305" s="7">
        <f>D305+8.5</f>
        <v>273.66000000000003</v>
      </c>
      <c r="L305">
        <f t="shared" si="28"/>
        <v>273.66000000000003</v>
      </c>
      <c r="M305" s="6"/>
      <c r="R305" s="7"/>
      <c r="S305" s="7"/>
    </row>
    <row r="306" spans="1:19" ht="28" x14ac:dyDescent="0.15">
      <c r="A306" s="8">
        <v>305</v>
      </c>
      <c r="B306" s="9" t="s">
        <v>195</v>
      </c>
      <c r="C306" s="9" t="s">
        <v>23</v>
      </c>
      <c r="D306" s="10">
        <v>250.92</v>
      </c>
      <c r="E306" s="10">
        <v>250.92</v>
      </c>
      <c r="F306" s="10">
        <v>2.41</v>
      </c>
      <c r="G306" s="9">
        <f t="shared" si="29"/>
        <v>86.883990000000011</v>
      </c>
      <c r="H306" s="11" t="s">
        <v>581</v>
      </c>
      <c r="I306" s="8"/>
      <c r="L306">
        <f t="shared" si="28"/>
        <v>250.92</v>
      </c>
      <c r="M306" s="6"/>
      <c r="R306" s="7"/>
      <c r="S306" s="7"/>
    </row>
    <row r="307" spans="1:19" ht="28" x14ac:dyDescent="0.15">
      <c r="A307" s="8">
        <v>306</v>
      </c>
      <c r="B307" s="9" t="s">
        <v>196</v>
      </c>
      <c r="C307" s="9" t="s">
        <v>16</v>
      </c>
      <c r="D307" s="10">
        <v>244.71</v>
      </c>
      <c r="E307" s="10">
        <v>244.71</v>
      </c>
      <c r="F307" s="10">
        <v>11.29</v>
      </c>
      <c r="G307" s="9">
        <f t="shared" si="29"/>
        <v>87.128700000000009</v>
      </c>
      <c r="H307" s="11" t="s">
        <v>581</v>
      </c>
      <c r="I307" s="8"/>
      <c r="L307">
        <f t="shared" si="28"/>
        <v>244.71</v>
      </c>
      <c r="M307" s="6"/>
      <c r="R307" s="7"/>
      <c r="S307" s="7"/>
    </row>
    <row r="308" spans="1:19" ht="28" x14ac:dyDescent="0.15">
      <c r="A308" s="8">
        <v>307</v>
      </c>
      <c r="B308" s="9" t="s">
        <v>197</v>
      </c>
      <c r="C308" s="9" t="s">
        <v>14</v>
      </c>
      <c r="D308" s="10">
        <v>38.35</v>
      </c>
      <c r="E308" s="10">
        <v>46.85</v>
      </c>
      <c r="F308" s="10">
        <v>65.239999999999995</v>
      </c>
      <c r="G308" s="9">
        <f t="shared" si="29"/>
        <v>87.175550000000015</v>
      </c>
      <c r="H308" s="11" t="s">
        <v>581</v>
      </c>
      <c r="I308" s="8"/>
      <c r="K308" s="7">
        <f>D308+8.5</f>
        <v>46.85</v>
      </c>
      <c r="L308">
        <f t="shared" si="28"/>
        <v>46.85</v>
      </c>
      <c r="M308" s="6"/>
      <c r="R308" s="7"/>
      <c r="S308" s="7"/>
    </row>
    <row r="309" spans="1:19" ht="28" x14ac:dyDescent="0.15">
      <c r="A309" s="8">
        <v>308</v>
      </c>
      <c r="B309" s="9" t="s">
        <v>198</v>
      </c>
      <c r="C309" s="9" t="s">
        <v>10</v>
      </c>
      <c r="D309" s="10">
        <v>130.65</v>
      </c>
      <c r="E309" s="10">
        <v>130.65</v>
      </c>
      <c r="F309" s="10">
        <v>2.06</v>
      </c>
      <c r="G309" s="9">
        <f t="shared" si="29"/>
        <v>87.306200000000018</v>
      </c>
      <c r="H309" s="11" t="s">
        <v>581</v>
      </c>
      <c r="I309" s="8"/>
      <c r="L309">
        <f t="shared" si="28"/>
        <v>130.65</v>
      </c>
      <c r="M309" s="6"/>
      <c r="R309" s="7"/>
      <c r="S309" s="7"/>
    </row>
    <row r="310" spans="1:19" ht="28" x14ac:dyDescent="0.15">
      <c r="A310" s="8">
        <v>309</v>
      </c>
      <c r="B310" s="9" t="s">
        <v>199</v>
      </c>
      <c r="C310" s="9" t="s">
        <v>10</v>
      </c>
      <c r="D310" s="10">
        <v>36.42</v>
      </c>
      <c r="E310" s="10">
        <v>36.42</v>
      </c>
      <c r="F310" s="10">
        <v>3.82</v>
      </c>
      <c r="G310" s="9">
        <f t="shared" si="29"/>
        <v>87.342620000000025</v>
      </c>
      <c r="H310" s="11" t="s">
        <v>581</v>
      </c>
      <c r="I310" s="8"/>
      <c r="L310">
        <f t="shared" si="28"/>
        <v>36.42</v>
      </c>
      <c r="M310" s="6"/>
      <c r="R310" s="7"/>
      <c r="S310" s="7"/>
    </row>
    <row r="311" spans="1:19" ht="28" x14ac:dyDescent="0.15">
      <c r="A311" s="8">
        <v>310</v>
      </c>
      <c r="B311" s="9" t="s">
        <v>200</v>
      </c>
      <c r="C311" s="9" t="s">
        <v>14</v>
      </c>
      <c r="D311" s="10">
        <v>252.31</v>
      </c>
      <c r="E311" s="10">
        <v>260.81</v>
      </c>
      <c r="F311" s="10">
        <v>71.34</v>
      </c>
      <c r="G311" s="9">
        <f t="shared" si="29"/>
        <v>87.603430000000031</v>
      </c>
      <c r="H311" s="11" t="s">
        <v>581</v>
      </c>
      <c r="I311" s="8"/>
      <c r="K311" s="7">
        <f t="shared" ref="K311:K312" si="33">D311+8.5</f>
        <v>260.81</v>
      </c>
      <c r="L311">
        <f t="shared" si="28"/>
        <v>260.81</v>
      </c>
      <c r="M311" s="6"/>
      <c r="R311" s="7"/>
      <c r="S311" s="7"/>
    </row>
    <row r="312" spans="1:19" ht="28" x14ac:dyDescent="0.15">
      <c r="A312" s="8">
        <v>311</v>
      </c>
      <c r="B312" s="9" t="s">
        <v>201</v>
      </c>
      <c r="C312" s="9" t="s">
        <v>28</v>
      </c>
      <c r="D312" s="10">
        <v>245.87</v>
      </c>
      <c r="E312" s="10">
        <v>254.37</v>
      </c>
      <c r="F312" s="9">
        <v>18.877988978164499</v>
      </c>
      <c r="G312" s="9">
        <f t="shared" si="29"/>
        <v>87.857800000000026</v>
      </c>
      <c r="H312" s="11" t="s">
        <v>581</v>
      </c>
      <c r="I312" s="8"/>
      <c r="K312" s="7">
        <f t="shared" si="33"/>
        <v>254.37</v>
      </c>
      <c r="L312">
        <f t="shared" si="28"/>
        <v>254.37</v>
      </c>
      <c r="M312" s="6"/>
      <c r="R312" s="7"/>
    </row>
    <row r="313" spans="1:19" ht="28" x14ac:dyDescent="0.15">
      <c r="A313" s="8">
        <v>312</v>
      </c>
      <c r="B313" s="9" t="s">
        <v>202</v>
      </c>
      <c r="C313" s="9" t="s">
        <v>23</v>
      </c>
      <c r="D313" s="10">
        <v>271.32</v>
      </c>
      <c r="E313" s="10">
        <v>271.32</v>
      </c>
      <c r="F313" s="9">
        <v>1.9480202499385699</v>
      </c>
      <c r="G313" s="9">
        <f t="shared" si="29"/>
        <v>88.129120000000029</v>
      </c>
      <c r="H313" s="11" t="s">
        <v>581</v>
      </c>
      <c r="I313" s="8"/>
      <c r="L313">
        <f t="shared" si="28"/>
        <v>271.32</v>
      </c>
      <c r="M313" s="6"/>
      <c r="R313" s="7"/>
    </row>
    <row r="314" spans="1:19" ht="28" x14ac:dyDescent="0.15">
      <c r="A314" s="8">
        <v>313</v>
      </c>
      <c r="B314" s="9" t="s">
        <v>203</v>
      </c>
      <c r="C314" s="9" t="s">
        <v>16</v>
      </c>
      <c r="D314" s="10">
        <v>339.78</v>
      </c>
      <c r="E314" s="10">
        <v>339.78</v>
      </c>
      <c r="F314" s="9">
        <v>4.6599531676585597</v>
      </c>
      <c r="G314" s="9">
        <f t="shared" si="29"/>
        <v>88.468900000000033</v>
      </c>
      <c r="H314" s="11" t="s">
        <v>581</v>
      </c>
      <c r="I314" s="8"/>
      <c r="L314">
        <f t="shared" si="28"/>
        <v>339.78</v>
      </c>
      <c r="M314" s="6"/>
      <c r="R314" s="7"/>
    </row>
    <row r="315" spans="1:19" ht="28" x14ac:dyDescent="0.15">
      <c r="A315" s="8">
        <v>314</v>
      </c>
      <c r="B315" s="9" t="s">
        <v>204</v>
      </c>
      <c r="C315" s="9" t="s">
        <v>23</v>
      </c>
      <c r="D315" s="10">
        <v>348.3</v>
      </c>
      <c r="E315" s="10">
        <v>348.3</v>
      </c>
      <c r="F315" s="9">
        <v>0.51387526188071297</v>
      </c>
      <c r="G315" s="9">
        <f t="shared" si="29"/>
        <v>88.817200000000028</v>
      </c>
      <c r="H315" s="11" t="s">
        <v>581</v>
      </c>
      <c r="I315" s="8"/>
      <c r="L315">
        <f t="shared" si="28"/>
        <v>348.3</v>
      </c>
      <c r="M315" s="6"/>
      <c r="R315" s="7"/>
    </row>
    <row r="316" spans="1:19" ht="28" x14ac:dyDescent="0.15">
      <c r="A316" s="8">
        <v>315</v>
      </c>
      <c r="B316" s="9" t="s">
        <v>205</v>
      </c>
      <c r="C316" s="9" t="s">
        <v>23</v>
      </c>
      <c r="D316" s="10">
        <v>306.12</v>
      </c>
      <c r="E316" s="10">
        <v>306.12</v>
      </c>
      <c r="F316" s="9">
        <v>1.52406465641752</v>
      </c>
      <c r="G316" s="9">
        <f t="shared" si="29"/>
        <v>89.123320000000035</v>
      </c>
      <c r="H316" s="11" t="s">
        <v>581</v>
      </c>
      <c r="I316" s="8"/>
      <c r="L316">
        <f t="shared" si="28"/>
        <v>306.12</v>
      </c>
      <c r="M316" s="6"/>
      <c r="R316" s="7"/>
    </row>
    <row r="317" spans="1:19" ht="28" x14ac:dyDescent="0.15">
      <c r="A317" s="8">
        <v>316</v>
      </c>
      <c r="B317" s="9" t="s">
        <v>206</v>
      </c>
      <c r="C317" s="9" t="s">
        <v>28</v>
      </c>
      <c r="D317" s="10">
        <v>98.02</v>
      </c>
      <c r="E317" s="10">
        <v>106.52</v>
      </c>
      <c r="F317" s="9">
        <v>31.688365466421299</v>
      </c>
      <c r="G317" s="9">
        <f t="shared" si="29"/>
        <v>89.229840000000038</v>
      </c>
      <c r="H317" s="11" t="s">
        <v>581</v>
      </c>
      <c r="I317" s="8"/>
      <c r="K317" s="7">
        <f t="shared" ref="K317:K320" si="34">D317+8.5</f>
        <v>106.52</v>
      </c>
      <c r="L317">
        <f t="shared" si="28"/>
        <v>106.52</v>
      </c>
      <c r="M317" s="6"/>
      <c r="R317" s="7"/>
    </row>
    <row r="318" spans="1:19" ht="28" x14ac:dyDescent="0.15">
      <c r="A318" s="8">
        <v>317</v>
      </c>
      <c r="B318" s="9" t="s">
        <v>207</v>
      </c>
      <c r="C318" s="9" t="s">
        <v>19</v>
      </c>
      <c r="D318" s="10">
        <v>238.68</v>
      </c>
      <c r="E318" s="10">
        <v>247.18</v>
      </c>
      <c r="F318" s="9">
        <v>48.803520760064302</v>
      </c>
      <c r="G318" s="9">
        <f t="shared" si="29"/>
        <v>89.477020000000039</v>
      </c>
      <c r="H318" s="11" t="s">
        <v>581</v>
      </c>
      <c r="I318" s="8"/>
      <c r="K318" s="7">
        <f t="shared" si="34"/>
        <v>247.18</v>
      </c>
      <c r="L318">
        <f t="shared" si="28"/>
        <v>247.18</v>
      </c>
      <c r="M318" s="6"/>
      <c r="R318" s="7"/>
    </row>
    <row r="319" spans="1:19" ht="28" x14ac:dyDescent="0.15">
      <c r="A319" s="8">
        <v>318</v>
      </c>
      <c r="B319" s="9" t="s">
        <v>208</v>
      </c>
      <c r="C319" s="9" t="s">
        <v>28</v>
      </c>
      <c r="D319" s="10">
        <v>91.35</v>
      </c>
      <c r="E319" s="10">
        <v>99.85</v>
      </c>
      <c r="F319" s="10">
        <v>25.92</v>
      </c>
      <c r="G319" s="9">
        <f t="shared" si="29"/>
        <v>89.576870000000042</v>
      </c>
      <c r="H319" s="11" t="s">
        <v>581</v>
      </c>
      <c r="I319" s="8"/>
      <c r="K319" s="7">
        <f t="shared" si="34"/>
        <v>99.85</v>
      </c>
      <c r="L319">
        <f t="shared" si="28"/>
        <v>99.85</v>
      </c>
      <c r="M319" s="6"/>
      <c r="R319" s="7"/>
      <c r="S319" s="7"/>
    </row>
    <row r="320" spans="1:19" ht="28" x14ac:dyDescent="0.15">
      <c r="A320" s="8">
        <v>319</v>
      </c>
      <c r="B320" s="9" t="s">
        <v>209</v>
      </c>
      <c r="C320" s="9" t="s">
        <v>14</v>
      </c>
      <c r="D320" s="10">
        <v>37.049999999999997</v>
      </c>
      <c r="E320" s="10">
        <v>45.55</v>
      </c>
      <c r="F320" s="10">
        <v>62.45</v>
      </c>
      <c r="G320" s="9">
        <f t="shared" si="29"/>
        <v>89.622420000000048</v>
      </c>
      <c r="H320" s="11" t="s">
        <v>581</v>
      </c>
      <c r="I320" s="8"/>
      <c r="K320" s="7">
        <f t="shared" si="34"/>
        <v>45.55</v>
      </c>
      <c r="L320">
        <f t="shared" si="28"/>
        <v>45.55</v>
      </c>
      <c r="M320" s="6"/>
      <c r="R320" s="7"/>
      <c r="S320" s="7"/>
    </row>
    <row r="321" spans="1:19" ht="28" x14ac:dyDescent="0.15">
      <c r="A321" s="8">
        <v>320</v>
      </c>
      <c r="B321" s="9" t="s">
        <v>682</v>
      </c>
      <c r="C321" s="9" t="s">
        <v>10</v>
      </c>
      <c r="D321" s="10">
        <v>60.41</v>
      </c>
      <c r="E321" s="10">
        <v>60.41</v>
      </c>
      <c r="F321" s="10">
        <v>1.49</v>
      </c>
      <c r="G321" s="9">
        <f t="shared" si="29"/>
        <v>89.682830000000052</v>
      </c>
      <c r="H321" s="11" t="s">
        <v>581</v>
      </c>
      <c r="I321" s="8"/>
      <c r="L321">
        <f t="shared" si="28"/>
        <v>60.41</v>
      </c>
      <c r="M321" s="6"/>
      <c r="R321" s="7"/>
      <c r="S321" s="7"/>
    </row>
    <row r="322" spans="1:19" ht="28" x14ac:dyDescent="0.15">
      <c r="A322" s="8">
        <v>321</v>
      </c>
      <c r="B322" s="9" t="s">
        <v>683</v>
      </c>
      <c r="C322" s="9" t="s">
        <v>10</v>
      </c>
      <c r="D322" s="10">
        <v>29.55</v>
      </c>
      <c r="E322" s="10">
        <v>29.55</v>
      </c>
      <c r="F322" s="10">
        <v>1.9</v>
      </c>
      <c r="G322" s="9">
        <f t="shared" si="29"/>
        <v>89.712380000000053</v>
      </c>
      <c r="H322" s="11" t="s">
        <v>581</v>
      </c>
      <c r="I322" s="8"/>
      <c r="L322">
        <f t="shared" si="28"/>
        <v>29.55</v>
      </c>
      <c r="M322" s="6"/>
      <c r="R322" s="7"/>
      <c r="S322" s="7"/>
    </row>
    <row r="323" spans="1:19" ht="28" x14ac:dyDescent="0.15">
      <c r="A323" s="8">
        <v>322</v>
      </c>
      <c r="B323" s="9" t="s">
        <v>212</v>
      </c>
      <c r="C323" s="9" t="s">
        <v>14</v>
      </c>
      <c r="D323" s="10">
        <v>269.01</v>
      </c>
      <c r="E323" s="10">
        <v>277.51</v>
      </c>
      <c r="F323" s="10">
        <v>50.3</v>
      </c>
      <c r="G323" s="9">
        <f t="shared" si="29"/>
        <v>89.989890000000059</v>
      </c>
      <c r="H323" s="11" t="s">
        <v>581</v>
      </c>
      <c r="I323" s="8"/>
      <c r="K323" s="7">
        <f>D323+8.5</f>
        <v>277.51</v>
      </c>
      <c r="L323">
        <f t="shared" ref="L323:L358" si="35">IF(K323&lt;&gt;"",K323,D323)</f>
        <v>277.51</v>
      </c>
      <c r="M323" s="6"/>
      <c r="R323" s="7"/>
      <c r="S323" s="7"/>
    </row>
    <row r="324" spans="1:19" ht="28" x14ac:dyDescent="0.15">
      <c r="A324" s="8">
        <v>323</v>
      </c>
      <c r="B324" s="9" t="s">
        <v>213</v>
      </c>
      <c r="C324" s="9" t="s">
        <v>23</v>
      </c>
      <c r="D324" s="10">
        <v>328.83</v>
      </c>
      <c r="E324" s="10">
        <v>328.83</v>
      </c>
      <c r="F324" s="10">
        <v>0.17</v>
      </c>
      <c r="G324" s="9">
        <f t="shared" ref="G324:G358" si="36">E324/1000+G323</f>
        <v>90.318720000000056</v>
      </c>
      <c r="H324" s="11" t="s">
        <v>581</v>
      </c>
      <c r="I324" s="8"/>
      <c r="L324">
        <f t="shared" si="35"/>
        <v>328.83</v>
      </c>
      <c r="M324" s="6"/>
      <c r="R324" s="7"/>
      <c r="S324" s="7"/>
    </row>
    <row r="325" spans="1:19" ht="28" x14ac:dyDescent="0.15">
      <c r="A325" s="8">
        <v>324</v>
      </c>
      <c r="B325" s="9" t="s">
        <v>214</v>
      </c>
      <c r="C325" s="9" t="s">
        <v>16</v>
      </c>
      <c r="D325" s="10">
        <v>280.45999999999998</v>
      </c>
      <c r="E325" s="10">
        <v>280.45999999999998</v>
      </c>
      <c r="F325" s="10">
        <v>7.85</v>
      </c>
      <c r="G325" s="9">
        <f t="shared" si="36"/>
        <v>90.599180000000061</v>
      </c>
      <c r="H325" s="11" t="s">
        <v>581</v>
      </c>
      <c r="I325" s="8"/>
      <c r="L325">
        <f t="shared" si="35"/>
        <v>280.45999999999998</v>
      </c>
      <c r="M325" s="6"/>
      <c r="R325" s="7"/>
      <c r="S325" s="7"/>
    </row>
    <row r="326" spans="1:19" ht="28" x14ac:dyDescent="0.15">
      <c r="A326" s="8">
        <v>325</v>
      </c>
      <c r="B326" s="9" t="s">
        <v>215</v>
      </c>
      <c r="C326" s="9" t="s">
        <v>19</v>
      </c>
      <c r="D326" s="10">
        <v>214.11</v>
      </c>
      <c r="E326" s="10">
        <v>222.61</v>
      </c>
      <c r="F326" s="10">
        <v>7.8</v>
      </c>
      <c r="G326" s="9">
        <f t="shared" si="36"/>
        <v>90.821790000000064</v>
      </c>
      <c r="H326" s="11" t="s">
        <v>581</v>
      </c>
      <c r="I326" s="8"/>
      <c r="K326" s="7">
        <f t="shared" ref="K326:K327" si="37">D326+8.5</f>
        <v>222.61</v>
      </c>
      <c r="L326">
        <f t="shared" si="35"/>
        <v>222.61</v>
      </c>
      <c r="M326" s="6"/>
      <c r="R326" s="7"/>
      <c r="S326" s="7"/>
    </row>
    <row r="327" spans="1:19" ht="28" x14ac:dyDescent="0.15">
      <c r="A327" s="8">
        <v>326</v>
      </c>
      <c r="B327" s="9" t="s">
        <v>216</v>
      </c>
      <c r="C327" s="9" t="s">
        <v>19</v>
      </c>
      <c r="D327" s="10">
        <v>64.73</v>
      </c>
      <c r="E327" s="10">
        <v>73.23</v>
      </c>
      <c r="F327" s="10">
        <v>23.09</v>
      </c>
      <c r="G327" s="9">
        <f t="shared" si="36"/>
        <v>90.895020000000059</v>
      </c>
      <c r="H327" s="11" t="s">
        <v>581</v>
      </c>
      <c r="I327" s="8"/>
      <c r="K327" s="7">
        <f t="shared" si="37"/>
        <v>73.23</v>
      </c>
      <c r="L327">
        <f t="shared" si="35"/>
        <v>73.23</v>
      </c>
      <c r="M327" s="6"/>
      <c r="R327" s="7"/>
      <c r="S327" s="7"/>
    </row>
    <row r="328" spans="1:19" ht="28" x14ac:dyDescent="0.15">
      <c r="A328" s="8">
        <v>327</v>
      </c>
      <c r="B328" s="9" t="s">
        <v>217</v>
      </c>
      <c r="C328" s="9" t="s">
        <v>10</v>
      </c>
      <c r="D328" s="10">
        <v>70.59</v>
      </c>
      <c r="E328" s="10">
        <v>70.59</v>
      </c>
      <c r="F328" s="10">
        <v>0.4</v>
      </c>
      <c r="G328" s="9">
        <f t="shared" si="36"/>
        <v>90.965610000000055</v>
      </c>
      <c r="H328" s="11" t="s">
        <v>581</v>
      </c>
      <c r="I328" s="8"/>
      <c r="L328">
        <f t="shared" si="35"/>
        <v>70.59</v>
      </c>
      <c r="M328" s="6"/>
      <c r="R328" s="7"/>
      <c r="S328" s="7"/>
    </row>
    <row r="329" spans="1:19" ht="28" x14ac:dyDescent="0.15">
      <c r="A329" s="8">
        <v>328</v>
      </c>
      <c r="B329" s="9" t="s">
        <v>218</v>
      </c>
      <c r="C329" s="9" t="s">
        <v>10</v>
      </c>
      <c r="D329" s="10">
        <v>33.479999999999997</v>
      </c>
      <c r="E329" s="10">
        <v>33.479999999999997</v>
      </c>
      <c r="F329" s="10">
        <v>1.8</v>
      </c>
      <c r="G329" s="9">
        <f t="shared" si="36"/>
        <v>90.999090000000052</v>
      </c>
      <c r="H329" s="11" t="s">
        <v>581</v>
      </c>
      <c r="I329" s="8"/>
      <c r="L329">
        <f t="shared" si="35"/>
        <v>33.479999999999997</v>
      </c>
      <c r="M329" s="6"/>
      <c r="R329" s="7"/>
      <c r="S329" s="7"/>
    </row>
    <row r="330" spans="1:19" ht="28" x14ac:dyDescent="0.15">
      <c r="A330" s="8">
        <v>329</v>
      </c>
      <c r="B330" s="9" t="s">
        <v>219</v>
      </c>
      <c r="C330" s="9" t="s">
        <v>14</v>
      </c>
      <c r="D330" s="10">
        <v>102.47</v>
      </c>
      <c r="E330" s="10">
        <v>110.97</v>
      </c>
      <c r="F330" s="10">
        <v>64.52</v>
      </c>
      <c r="G330" s="9">
        <f t="shared" si="36"/>
        <v>91.110060000000047</v>
      </c>
      <c r="H330" s="11" t="s">
        <v>581</v>
      </c>
      <c r="I330" s="8"/>
      <c r="K330" s="7">
        <f t="shared" ref="K330:K331" si="38">D330+8.5</f>
        <v>110.97</v>
      </c>
      <c r="L330">
        <f t="shared" si="35"/>
        <v>110.97</v>
      </c>
      <c r="M330" s="6"/>
      <c r="R330" s="7"/>
      <c r="S330" s="7"/>
    </row>
    <row r="331" spans="1:19" ht="28" x14ac:dyDescent="0.15">
      <c r="A331" s="8">
        <v>330</v>
      </c>
      <c r="B331" s="9" t="s">
        <v>220</v>
      </c>
      <c r="C331" s="9" t="s">
        <v>19</v>
      </c>
      <c r="D331" s="10">
        <v>50.33</v>
      </c>
      <c r="E331" s="10">
        <v>58.83</v>
      </c>
      <c r="F331" s="10">
        <v>45.3</v>
      </c>
      <c r="G331" s="9">
        <f t="shared" si="36"/>
        <v>91.168890000000047</v>
      </c>
      <c r="H331" s="11" t="s">
        <v>581</v>
      </c>
      <c r="I331" s="8"/>
      <c r="K331" s="7">
        <f t="shared" si="38"/>
        <v>58.83</v>
      </c>
      <c r="L331">
        <f t="shared" si="35"/>
        <v>58.83</v>
      </c>
      <c r="M331" s="6"/>
      <c r="R331" s="7"/>
      <c r="S331" s="7"/>
    </row>
    <row r="332" spans="1:19" ht="28" x14ac:dyDescent="0.15">
      <c r="A332" s="8">
        <v>331</v>
      </c>
      <c r="B332" s="9" t="s">
        <v>221</v>
      </c>
      <c r="C332" s="9" t="s">
        <v>10</v>
      </c>
      <c r="D332" s="10">
        <v>63.26</v>
      </c>
      <c r="E332" s="10">
        <v>63.26</v>
      </c>
      <c r="F332" s="10">
        <v>0.39</v>
      </c>
      <c r="G332" s="9">
        <f t="shared" si="36"/>
        <v>91.232150000000047</v>
      </c>
      <c r="H332" s="11" t="s">
        <v>581</v>
      </c>
      <c r="I332" s="8"/>
      <c r="L332">
        <f t="shared" si="35"/>
        <v>63.26</v>
      </c>
      <c r="M332" s="6"/>
      <c r="R332" s="7"/>
      <c r="S332" s="7"/>
    </row>
    <row r="333" spans="1:19" ht="28" x14ac:dyDescent="0.15">
      <c r="A333" s="8">
        <v>332</v>
      </c>
      <c r="B333" s="9" t="s">
        <v>222</v>
      </c>
      <c r="C333" s="9" t="s">
        <v>10</v>
      </c>
      <c r="D333" s="10">
        <v>30.35</v>
      </c>
      <c r="E333" s="10">
        <v>30.35</v>
      </c>
      <c r="F333" s="10">
        <v>0.49</v>
      </c>
      <c r="G333" s="9">
        <f t="shared" si="36"/>
        <v>91.262500000000045</v>
      </c>
      <c r="H333" s="11" t="s">
        <v>581</v>
      </c>
      <c r="I333" s="8"/>
      <c r="L333">
        <f t="shared" si="35"/>
        <v>30.35</v>
      </c>
      <c r="M333" s="6"/>
      <c r="R333" s="7"/>
      <c r="S333" s="7"/>
    </row>
    <row r="334" spans="1:19" ht="28" x14ac:dyDescent="0.15">
      <c r="A334" s="8">
        <v>333</v>
      </c>
      <c r="B334" s="9" t="s">
        <v>223</v>
      </c>
      <c r="C334" s="9" t="s">
        <v>14</v>
      </c>
      <c r="D334" s="10">
        <v>203.73</v>
      </c>
      <c r="E334" s="10">
        <v>212.23</v>
      </c>
      <c r="F334" s="10">
        <v>77.040000000000006</v>
      </c>
      <c r="G334" s="9">
        <f t="shared" si="36"/>
        <v>91.474730000000051</v>
      </c>
      <c r="H334" s="11" t="s">
        <v>581</v>
      </c>
      <c r="I334" s="8"/>
      <c r="K334" s="7">
        <f t="shared" ref="K334:K336" si="39">D334+8.5</f>
        <v>212.23</v>
      </c>
      <c r="L334">
        <f t="shared" si="35"/>
        <v>212.23</v>
      </c>
      <c r="M334" s="6"/>
      <c r="R334" s="7"/>
      <c r="S334" s="7"/>
    </row>
    <row r="335" spans="1:19" ht="28" x14ac:dyDescent="0.15">
      <c r="A335" s="8">
        <v>334</v>
      </c>
      <c r="B335" s="9" t="s">
        <v>224</v>
      </c>
      <c r="C335" s="9" t="s">
        <v>28</v>
      </c>
      <c r="D335" s="10">
        <v>301.95</v>
      </c>
      <c r="E335" s="10">
        <v>310.45</v>
      </c>
      <c r="F335" s="10">
        <v>20.76</v>
      </c>
      <c r="G335" s="9">
        <f t="shared" si="36"/>
        <v>91.785180000000054</v>
      </c>
      <c r="H335" s="11" t="s">
        <v>581</v>
      </c>
      <c r="I335" s="8"/>
      <c r="K335" s="7">
        <f t="shared" si="39"/>
        <v>310.45</v>
      </c>
      <c r="L335">
        <f t="shared" si="35"/>
        <v>310.45</v>
      </c>
      <c r="M335" s="6"/>
      <c r="R335" s="7"/>
      <c r="S335" s="7"/>
    </row>
    <row r="336" spans="1:19" ht="28" x14ac:dyDescent="0.15">
      <c r="A336" s="8">
        <v>335</v>
      </c>
      <c r="B336" s="9" t="s">
        <v>225</v>
      </c>
      <c r="C336" s="9" t="s">
        <v>19</v>
      </c>
      <c r="D336" s="10">
        <v>278.76</v>
      </c>
      <c r="E336" s="10">
        <v>287.26</v>
      </c>
      <c r="F336" s="10">
        <v>39.93</v>
      </c>
      <c r="G336" s="9">
        <f t="shared" si="36"/>
        <v>92.072440000000057</v>
      </c>
      <c r="H336" s="11" t="s">
        <v>581</v>
      </c>
      <c r="I336" s="8"/>
      <c r="K336" s="7">
        <f t="shared" si="39"/>
        <v>287.26</v>
      </c>
      <c r="L336">
        <f t="shared" si="35"/>
        <v>287.26</v>
      </c>
      <c r="M336" s="6"/>
      <c r="R336" s="7"/>
      <c r="S336" s="7"/>
    </row>
    <row r="337" spans="1:19" ht="28" x14ac:dyDescent="0.15">
      <c r="A337" s="8">
        <v>336</v>
      </c>
      <c r="B337" s="9" t="s">
        <v>226</v>
      </c>
      <c r="C337" s="9" t="s">
        <v>23</v>
      </c>
      <c r="D337" s="10">
        <v>324.38</v>
      </c>
      <c r="E337" s="10">
        <v>324.38</v>
      </c>
      <c r="F337" s="10">
        <v>1.03</v>
      </c>
      <c r="G337" s="9">
        <f t="shared" si="36"/>
        <v>92.396820000000062</v>
      </c>
      <c r="H337" s="11" t="s">
        <v>581</v>
      </c>
      <c r="I337" s="8"/>
      <c r="L337">
        <f t="shared" si="35"/>
        <v>324.38</v>
      </c>
      <c r="M337" s="6"/>
      <c r="R337" s="7"/>
      <c r="S337" s="7"/>
    </row>
    <row r="338" spans="1:19" ht="28" x14ac:dyDescent="0.15">
      <c r="A338" s="8">
        <v>337</v>
      </c>
      <c r="B338" s="9" t="s">
        <v>227</v>
      </c>
      <c r="C338" s="9" t="s">
        <v>28</v>
      </c>
      <c r="D338" s="10">
        <v>258.17</v>
      </c>
      <c r="E338" s="10">
        <v>266.67</v>
      </c>
      <c r="F338" s="10">
        <v>26.2</v>
      </c>
      <c r="G338" s="9">
        <f t="shared" si="36"/>
        <v>92.663490000000067</v>
      </c>
      <c r="H338" s="11" t="s">
        <v>581</v>
      </c>
      <c r="I338" s="8"/>
      <c r="K338" s="7">
        <f>D338+8.5</f>
        <v>266.67</v>
      </c>
      <c r="L338">
        <f t="shared" si="35"/>
        <v>266.67</v>
      </c>
      <c r="M338" s="6"/>
      <c r="R338" s="7"/>
      <c r="S338" s="7"/>
    </row>
    <row r="339" spans="1:19" ht="28" x14ac:dyDescent="0.15">
      <c r="A339" s="8">
        <v>338</v>
      </c>
      <c r="B339" s="9" t="s">
        <v>228</v>
      </c>
      <c r="C339" s="9" t="s">
        <v>23</v>
      </c>
      <c r="D339" s="10">
        <v>346.8</v>
      </c>
      <c r="E339" s="10">
        <v>346.8</v>
      </c>
      <c r="F339" s="10">
        <v>0.47</v>
      </c>
      <c r="G339" s="9">
        <f t="shared" si="36"/>
        <v>93.010290000000069</v>
      </c>
      <c r="H339" s="11" t="s">
        <v>581</v>
      </c>
      <c r="I339" s="8"/>
      <c r="L339">
        <f t="shared" si="35"/>
        <v>346.8</v>
      </c>
      <c r="M339" s="6"/>
      <c r="R339" s="7"/>
      <c r="S339" s="7"/>
    </row>
    <row r="340" spans="1:19" ht="28" x14ac:dyDescent="0.15">
      <c r="A340" s="8">
        <v>339</v>
      </c>
      <c r="B340" s="9" t="s">
        <v>229</v>
      </c>
      <c r="C340" s="9" t="s">
        <v>14</v>
      </c>
      <c r="D340" s="10">
        <v>71.14</v>
      </c>
      <c r="E340" s="10">
        <v>79.64</v>
      </c>
      <c r="F340" s="10">
        <v>58.39</v>
      </c>
      <c r="G340" s="9">
        <f t="shared" si="36"/>
        <v>93.089930000000066</v>
      </c>
      <c r="H340" s="11" t="s">
        <v>581</v>
      </c>
      <c r="I340" s="8"/>
      <c r="K340" s="7">
        <f>D340+8.5</f>
        <v>79.64</v>
      </c>
      <c r="L340">
        <f t="shared" si="35"/>
        <v>79.64</v>
      </c>
      <c r="M340" s="6"/>
      <c r="R340" s="7"/>
      <c r="S340" s="7"/>
    </row>
    <row r="341" spans="1:19" ht="28" x14ac:dyDescent="0.15">
      <c r="A341" s="8">
        <v>340</v>
      </c>
      <c r="B341" s="9" t="s">
        <v>230</v>
      </c>
      <c r="C341" s="9" t="s">
        <v>10</v>
      </c>
      <c r="D341" s="10">
        <v>167.5</v>
      </c>
      <c r="E341" s="10">
        <v>167.5</v>
      </c>
      <c r="F341" s="10">
        <v>9.6300000000000008</v>
      </c>
      <c r="G341" s="9">
        <f t="shared" si="36"/>
        <v>93.25743000000007</v>
      </c>
      <c r="H341" s="11" t="s">
        <v>581</v>
      </c>
      <c r="I341" s="8"/>
      <c r="L341">
        <f t="shared" si="35"/>
        <v>167.5</v>
      </c>
      <c r="M341" s="6"/>
      <c r="R341" s="7"/>
      <c r="S341" s="7"/>
    </row>
    <row r="342" spans="1:19" ht="28" x14ac:dyDescent="0.15">
      <c r="A342" s="8">
        <v>341</v>
      </c>
      <c r="B342" s="9" t="s">
        <v>231</v>
      </c>
      <c r="C342" s="9" t="s">
        <v>10</v>
      </c>
      <c r="D342" s="10">
        <v>32.64</v>
      </c>
      <c r="E342" s="10">
        <v>32.64</v>
      </c>
      <c r="F342" s="10">
        <v>14.46</v>
      </c>
      <c r="G342" s="9">
        <f t="shared" si="36"/>
        <v>93.290070000000071</v>
      </c>
      <c r="H342" s="11" t="s">
        <v>581</v>
      </c>
      <c r="I342" s="8"/>
      <c r="L342">
        <f t="shared" si="35"/>
        <v>32.64</v>
      </c>
      <c r="M342" s="6"/>
      <c r="R342" s="7"/>
      <c r="S342" s="7"/>
    </row>
    <row r="343" spans="1:19" ht="28" x14ac:dyDescent="0.15">
      <c r="A343" s="8">
        <v>342</v>
      </c>
      <c r="B343" s="9" t="s">
        <v>232</v>
      </c>
      <c r="C343" s="9" t="s">
        <v>19</v>
      </c>
      <c r="D343" s="10">
        <v>272.7</v>
      </c>
      <c r="E343" s="10">
        <v>281.2</v>
      </c>
      <c r="F343" s="10">
        <v>48.22</v>
      </c>
      <c r="G343" s="9">
        <f t="shared" si="36"/>
        <v>93.571270000000069</v>
      </c>
      <c r="H343" s="11" t="s">
        <v>581</v>
      </c>
      <c r="I343" s="8"/>
      <c r="K343" s="7">
        <f>D343+8.5</f>
        <v>281.2</v>
      </c>
      <c r="L343">
        <f t="shared" si="35"/>
        <v>281.2</v>
      </c>
      <c r="M343" s="6"/>
      <c r="R343" s="7"/>
      <c r="S343" s="7"/>
    </row>
    <row r="344" spans="1:19" ht="28" x14ac:dyDescent="0.15">
      <c r="A344" s="8">
        <v>343</v>
      </c>
      <c r="B344" s="9" t="s">
        <v>233</v>
      </c>
      <c r="C344" s="9" t="s">
        <v>23</v>
      </c>
      <c r="D344" s="10">
        <v>273.39</v>
      </c>
      <c r="E344" s="10">
        <v>273.39</v>
      </c>
      <c r="F344" s="10">
        <v>0.16</v>
      </c>
      <c r="G344" s="9">
        <f t="shared" si="36"/>
        <v>93.844660000000076</v>
      </c>
      <c r="H344" s="11" t="s">
        <v>581</v>
      </c>
      <c r="I344" s="8"/>
      <c r="L344">
        <f t="shared" si="35"/>
        <v>273.39</v>
      </c>
      <c r="M344" s="6"/>
      <c r="R344" s="7"/>
      <c r="S344" s="7"/>
    </row>
    <row r="345" spans="1:19" ht="28" x14ac:dyDescent="0.15">
      <c r="A345" s="8">
        <v>344</v>
      </c>
      <c r="B345" s="9" t="s">
        <v>234</v>
      </c>
      <c r="C345" s="9" t="s">
        <v>14</v>
      </c>
      <c r="D345" s="10">
        <v>339.37</v>
      </c>
      <c r="E345" s="10">
        <v>347.87</v>
      </c>
      <c r="F345" s="10">
        <v>65.069999999999993</v>
      </c>
      <c r="G345" s="9">
        <f t="shared" si="36"/>
        <v>94.192530000000076</v>
      </c>
      <c r="H345" s="11" t="s">
        <v>581</v>
      </c>
      <c r="I345" s="8"/>
      <c r="K345" s="7">
        <f t="shared" ref="K345:K347" si="40">D345+8.5</f>
        <v>347.87</v>
      </c>
      <c r="L345">
        <f t="shared" si="35"/>
        <v>347.87</v>
      </c>
      <c r="M345" s="6"/>
      <c r="R345" s="7"/>
      <c r="S345" s="7"/>
    </row>
    <row r="346" spans="1:19" ht="28" x14ac:dyDescent="0.15">
      <c r="A346" s="8">
        <v>345</v>
      </c>
      <c r="B346" s="9" t="s">
        <v>235</v>
      </c>
      <c r="C346" s="9" t="s">
        <v>19</v>
      </c>
      <c r="D346" s="10">
        <v>164.25</v>
      </c>
      <c r="E346" s="10">
        <v>172.75</v>
      </c>
      <c r="F346" s="10">
        <v>31.14</v>
      </c>
      <c r="G346" s="9">
        <f t="shared" si="36"/>
        <v>94.36528000000007</v>
      </c>
      <c r="H346" s="11" t="s">
        <v>581</v>
      </c>
      <c r="I346" s="8"/>
      <c r="K346" s="7">
        <f t="shared" si="40"/>
        <v>172.75</v>
      </c>
      <c r="L346">
        <f t="shared" si="35"/>
        <v>172.75</v>
      </c>
      <c r="M346" s="6"/>
      <c r="R346" s="7"/>
      <c r="S346" s="7"/>
    </row>
    <row r="347" spans="1:19" ht="28" x14ac:dyDescent="0.15">
      <c r="A347" s="8">
        <v>346</v>
      </c>
      <c r="B347" s="9" t="s">
        <v>236</v>
      </c>
      <c r="C347" s="9" t="s">
        <v>14</v>
      </c>
      <c r="D347" s="10">
        <v>25.72</v>
      </c>
      <c r="E347" s="10">
        <v>34.22</v>
      </c>
      <c r="F347" s="10">
        <v>70.22</v>
      </c>
      <c r="G347" s="9">
        <f t="shared" si="36"/>
        <v>94.399500000000074</v>
      </c>
      <c r="H347" s="11" t="s">
        <v>581</v>
      </c>
      <c r="I347" s="8"/>
      <c r="K347" s="7">
        <f t="shared" si="40"/>
        <v>34.22</v>
      </c>
      <c r="L347">
        <f t="shared" si="35"/>
        <v>34.22</v>
      </c>
      <c r="M347" s="6"/>
      <c r="R347" s="7"/>
      <c r="S347" s="7"/>
    </row>
    <row r="348" spans="1:19" ht="28" x14ac:dyDescent="0.15">
      <c r="A348" s="8">
        <v>347</v>
      </c>
      <c r="B348" s="9" t="s">
        <v>237</v>
      </c>
      <c r="C348" s="9" t="s">
        <v>10</v>
      </c>
      <c r="D348" s="10">
        <v>59.25</v>
      </c>
      <c r="E348" s="10">
        <v>59.25</v>
      </c>
      <c r="F348" s="10">
        <v>0.41</v>
      </c>
      <c r="G348" s="9">
        <f t="shared" si="36"/>
        <v>94.45875000000008</v>
      </c>
      <c r="H348" s="11" t="s">
        <v>581</v>
      </c>
      <c r="I348" s="8"/>
      <c r="L348">
        <f t="shared" si="35"/>
        <v>59.25</v>
      </c>
      <c r="M348" s="6"/>
      <c r="R348" s="7"/>
      <c r="S348" s="7"/>
    </row>
    <row r="349" spans="1:19" ht="28" x14ac:dyDescent="0.15">
      <c r="A349" s="8">
        <v>348</v>
      </c>
      <c r="B349" s="9" t="s">
        <v>238</v>
      </c>
      <c r="C349" s="9" t="s">
        <v>10</v>
      </c>
      <c r="D349" s="10">
        <v>70.2</v>
      </c>
      <c r="E349" s="10">
        <v>70.2</v>
      </c>
      <c r="F349" s="10">
        <v>4.12</v>
      </c>
      <c r="G349" s="9">
        <f t="shared" si="36"/>
        <v>94.52895000000008</v>
      </c>
      <c r="H349" s="11" t="s">
        <v>581</v>
      </c>
      <c r="I349" s="8"/>
      <c r="L349">
        <f t="shared" si="35"/>
        <v>70.2</v>
      </c>
      <c r="M349" s="6"/>
      <c r="R349" s="7"/>
      <c r="S349" s="7"/>
    </row>
    <row r="350" spans="1:19" ht="28" x14ac:dyDescent="0.15">
      <c r="A350" s="8">
        <v>349</v>
      </c>
      <c r="B350" s="9" t="s">
        <v>239</v>
      </c>
      <c r="C350" s="9" t="s">
        <v>19</v>
      </c>
      <c r="D350" s="10">
        <v>374.86</v>
      </c>
      <c r="E350" s="10">
        <v>383.36</v>
      </c>
      <c r="F350" s="10">
        <v>33.770000000000003</v>
      </c>
      <c r="G350" s="9">
        <f t="shared" si="36"/>
        <v>94.912310000000076</v>
      </c>
      <c r="H350" s="11" t="s">
        <v>581</v>
      </c>
      <c r="I350" s="8"/>
      <c r="K350" s="7">
        <f t="shared" ref="K350:K351" si="41">D350+8.5</f>
        <v>383.36</v>
      </c>
      <c r="L350">
        <f t="shared" si="35"/>
        <v>383.36</v>
      </c>
      <c r="M350" s="6"/>
      <c r="R350" s="7"/>
      <c r="S350" s="7"/>
    </row>
    <row r="351" spans="1:19" ht="28" x14ac:dyDescent="0.15">
      <c r="A351" s="8">
        <v>350</v>
      </c>
      <c r="B351" s="9" t="s">
        <v>240</v>
      </c>
      <c r="C351" s="9" t="s">
        <v>14</v>
      </c>
      <c r="D351" s="10">
        <v>47.38</v>
      </c>
      <c r="E351" s="10">
        <v>55.88</v>
      </c>
      <c r="F351" s="10">
        <v>64.17</v>
      </c>
      <c r="G351" s="9">
        <f t="shared" si="36"/>
        <v>94.968190000000078</v>
      </c>
      <c r="H351" s="11" t="s">
        <v>581</v>
      </c>
      <c r="I351" s="8"/>
      <c r="K351" s="7">
        <f t="shared" si="41"/>
        <v>55.88</v>
      </c>
      <c r="L351">
        <f t="shared" si="35"/>
        <v>55.88</v>
      </c>
      <c r="M351" s="6"/>
      <c r="R351" s="7"/>
      <c r="S351" s="7"/>
    </row>
    <row r="352" spans="1:19" ht="28" x14ac:dyDescent="0.15">
      <c r="A352" s="8">
        <v>351</v>
      </c>
      <c r="B352" s="9" t="s">
        <v>241</v>
      </c>
      <c r="C352" s="9" t="s">
        <v>10</v>
      </c>
      <c r="D352" s="10">
        <v>114.54</v>
      </c>
      <c r="E352" s="10">
        <v>114.54</v>
      </c>
      <c r="F352" s="10">
        <v>1.1499999999999999</v>
      </c>
      <c r="G352" s="9">
        <f t="shared" si="36"/>
        <v>95.082730000000083</v>
      </c>
      <c r="H352" s="11" t="s">
        <v>581</v>
      </c>
      <c r="I352" s="8"/>
      <c r="L352">
        <f t="shared" si="35"/>
        <v>114.54</v>
      </c>
      <c r="M352" s="6"/>
      <c r="R352" s="7"/>
      <c r="S352" s="7"/>
    </row>
    <row r="353" spans="1:19" ht="28" x14ac:dyDescent="0.15">
      <c r="A353" s="8">
        <v>352</v>
      </c>
      <c r="B353" s="9" t="s">
        <v>242</v>
      </c>
      <c r="C353" s="9" t="s">
        <v>10</v>
      </c>
      <c r="D353" s="10">
        <v>74.31</v>
      </c>
      <c r="E353" s="10">
        <v>74.31</v>
      </c>
      <c r="F353" s="10">
        <v>4.38</v>
      </c>
      <c r="G353" s="9">
        <f t="shared" si="36"/>
        <v>95.15704000000008</v>
      </c>
      <c r="H353" s="11" t="s">
        <v>581</v>
      </c>
      <c r="I353" s="8"/>
      <c r="L353">
        <f t="shared" si="35"/>
        <v>74.31</v>
      </c>
      <c r="M353" s="6"/>
      <c r="R353" s="7"/>
      <c r="S353" s="7"/>
    </row>
    <row r="354" spans="1:19" ht="28" x14ac:dyDescent="0.15">
      <c r="A354" s="8">
        <v>353</v>
      </c>
      <c r="B354" s="9" t="s">
        <v>243</v>
      </c>
      <c r="C354" s="9" t="s">
        <v>10</v>
      </c>
      <c r="D354" s="10">
        <v>53.14</v>
      </c>
      <c r="E354" s="10">
        <v>53.14</v>
      </c>
      <c r="F354" s="10">
        <v>6.54</v>
      </c>
      <c r="G354" s="9">
        <f t="shared" si="36"/>
        <v>95.210180000000079</v>
      </c>
      <c r="H354" s="11" t="s">
        <v>581</v>
      </c>
      <c r="I354" s="8"/>
      <c r="L354">
        <f t="shared" si="35"/>
        <v>53.14</v>
      </c>
      <c r="M354" s="6"/>
      <c r="R354" s="7"/>
      <c r="S354" s="7"/>
    </row>
    <row r="355" spans="1:19" ht="28" x14ac:dyDescent="0.15">
      <c r="A355" s="8">
        <v>354</v>
      </c>
      <c r="B355" s="9" t="s">
        <v>244</v>
      </c>
      <c r="C355" s="9" t="s">
        <v>14</v>
      </c>
      <c r="D355" s="10">
        <v>160</v>
      </c>
      <c r="E355" s="10">
        <v>168.5</v>
      </c>
      <c r="F355" s="10">
        <v>64.989999999999995</v>
      </c>
      <c r="G355" s="9">
        <f t="shared" si="36"/>
        <v>95.378680000000074</v>
      </c>
      <c r="H355" s="11" t="s">
        <v>581</v>
      </c>
      <c r="I355" s="8"/>
      <c r="K355" s="7">
        <f t="shared" ref="K355:K358" si="42">D355+8.5</f>
        <v>168.5</v>
      </c>
      <c r="L355">
        <f t="shared" si="35"/>
        <v>168.5</v>
      </c>
      <c r="M355" s="6"/>
      <c r="R355" s="7"/>
      <c r="S355" s="7"/>
    </row>
    <row r="356" spans="1:19" ht="28" x14ac:dyDescent="0.15">
      <c r="A356" s="8">
        <v>355</v>
      </c>
      <c r="B356" s="9" t="s">
        <v>245</v>
      </c>
      <c r="C356" s="9" t="s">
        <v>14</v>
      </c>
      <c r="D356" s="10">
        <v>20</v>
      </c>
      <c r="E356" s="10">
        <v>28.5</v>
      </c>
      <c r="F356" s="14">
        <v>1</v>
      </c>
      <c r="G356" s="9">
        <f t="shared" si="36"/>
        <v>95.407180000000068</v>
      </c>
      <c r="H356" s="11" t="s">
        <v>581</v>
      </c>
      <c r="I356" s="8"/>
      <c r="K356" s="7">
        <f t="shared" si="42"/>
        <v>28.5</v>
      </c>
      <c r="L356">
        <f t="shared" si="35"/>
        <v>28.5</v>
      </c>
      <c r="M356" s="6"/>
      <c r="R356" s="7"/>
      <c r="S356" s="6"/>
    </row>
    <row r="357" spans="1:19" ht="28" x14ac:dyDescent="0.15">
      <c r="A357" s="8" t="s">
        <v>684</v>
      </c>
      <c r="B357" s="9" t="s">
        <v>690</v>
      </c>
      <c r="C357" s="9" t="s">
        <v>19</v>
      </c>
      <c r="D357" s="10">
        <v>120</v>
      </c>
      <c r="E357" s="10">
        <v>128.5</v>
      </c>
      <c r="F357" s="10">
        <v>33.04</v>
      </c>
      <c r="G357" s="9">
        <f t="shared" si="36"/>
        <v>95.53568000000007</v>
      </c>
      <c r="H357" s="11" t="s">
        <v>581</v>
      </c>
      <c r="I357" s="8"/>
      <c r="K357" s="7">
        <f t="shared" si="42"/>
        <v>128.5</v>
      </c>
      <c r="L357">
        <f t="shared" si="35"/>
        <v>128.5</v>
      </c>
      <c r="M357" s="6"/>
      <c r="R357" s="7"/>
      <c r="S357" s="7"/>
    </row>
    <row r="358" spans="1:19" ht="28" x14ac:dyDescent="0.15">
      <c r="A358" s="8" t="s">
        <v>684</v>
      </c>
      <c r="B358" s="9" t="s">
        <v>691</v>
      </c>
      <c r="C358" s="9" t="s">
        <v>28</v>
      </c>
      <c r="D358" s="10">
        <v>51.61</v>
      </c>
      <c r="E358" s="10">
        <v>60.11</v>
      </c>
      <c r="F358" s="10">
        <v>5.84</v>
      </c>
      <c r="G358" s="9">
        <f t="shared" si="36"/>
        <v>95.595790000000065</v>
      </c>
      <c r="H358" s="11" t="s">
        <v>581</v>
      </c>
      <c r="I358" s="9"/>
      <c r="K358" s="7">
        <f t="shared" si="42"/>
        <v>60.11</v>
      </c>
      <c r="L358">
        <f t="shared" si="35"/>
        <v>60.11</v>
      </c>
      <c r="M358" s="6"/>
      <c r="R358" s="7"/>
      <c r="S358" s="7"/>
    </row>
  </sheetData>
  <autoFilter ref="A1:I358" xr:uid="{3A7B6585-A592-9840-BA85-DA3C2A1BE76A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9B0AD-52BE-2643-B137-39F5DA1CCE9D}">
  <dimension ref="A1:S692"/>
  <sheetViews>
    <sheetView topLeftCell="A684" workbookViewId="0">
      <selection activeCell="L2" sqref="L2"/>
    </sheetView>
  </sheetViews>
  <sheetFormatPr baseColWidth="10" defaultColWidth="11.5" defaultRowHeight="13" x14ac:dyDescent="0.15"/>
  <cols>
    <col min="11" max="11" width="14" style="7" customWidth="1"/>
    <col min="15" max="15" width="66.5" bestFit="1" customWidth="1"/>
    <col min="16" max="16" width="16" bestFit="1" customWidth="1"/>
  </cols>
  <sheetData>
    <row r="1" spans="1:19" ht="48" x14ac:dyDescent="0.2">
      <c r="A1" s="15" t="s">
        <v>0</v>
      </c>
      <c r="B1" s="16" t="s">
        <v>1</v>
      </c>
      <c r="C1" s="16" t="s">
        <v>2</v>
      </c>
      <c r="D1" s="16" t="s">
        <v>3</v>
      </c>
      <c r="E1" s="25" t="s">
        <v>4</v>
      </c>
      <c r="F1" s="16" t="s">
        <v>5</v>
      </c>
      <c r="G1" s="15" t="s">
        <v>6</v>
      </c>
      <c r="H1" s="17" t="s">
        <v>7</v>
      </c>
      <c r="I1" s="15" t="s">
        <v>8</v>
      </c>
      <c r="J1" s="6"/>
      <c r="L1" s="26"/>
      <c r="M1" s="26"/>
      <c r="N1" s="27"/>
      <c r="O1" s="27"/>
      <c r="P1" s="27"/>
      <c r="Q1" s="27"/>
      <c r="R1" s="27"/>
      <c r="S1" s="27"/>
    </row>
    <row r="2" spans="1:19" ht="14" x14ac:dyDescent="0.15">
      <c r="A2" s="21">
        <v>0</v>
      </c>
      <c r="B2" s="9" t="s">
        <v>9</v>
      </c>
      <c r="C2" s="9" t="s">
        <v>10</v>
      </c>
      <c r="D2" s="10">
        <v>95.05</v>
      </c>
      <c r="E2" s="10">
        <v>95.05</v>
      </c>
      <c r="F2" s="10">
        <v>90.62</v>
      </c>
      <c r="G2" s="21">
        <f>E2/1000</f>
        <v>9.5049999999999996E-2</v>
      </c>
      <c r="H2" s="22" t="s">
        <v>11</v>
      </c>
      <c r="I2" s="9"/>
      <c r="J2" s="6"/>
      <c r="K2" s="6"/>
      <c r="L2" s="7">
        <f>IF(K2&lt;&gt;"",K2,D2)</f>
        <v>95.05</v>
      </c>
      <c r="M2" s="6"/>
    </row>
    <row r="3" spans="1:19" ht="14" x14ac:dyDescent="0.15">
      <c r="A3" s="22">
        <v>1</v>
      </c>
      <c r="B3" s="9" t="s">
        <v>13</v>
      </c>
      <c r="C3" s="9" t="s">
        <v>14</v>
      </c>
      <c r="D3" s="10">
        <v>306.06</v>
      </c>
      <c r="E3" s="10">
        <v>314.56</v>
      </c>
      <c r="F3" s="10">
        <v>2.59</v>
      </c>
      <c r="G3" s="22">
        <f>E3/1000+G2</f>
        <v>0.40961000000000003</v>
      </c>
      <c r="H3" s="22" t="s">
        <v>11</v>
      </c>
      <c r="I3" s="9"/>
      <c r="J3" s="6"/>
      <c r="K3" s="7">
        <f>D3+8.5</f>
        <v>314.56</v>
      </c>
      <c r="L3" s="7">
        <f t="shared" ref="L3:L66" si="0">IF(K3&lt;&gt;"",K3,D3)</f>
        <v>314.56</v>
      </c>
      <c r="M3" s="6"/>
    </row>
    <row r="4" spans="1:19" ht="14" x14ac:dyDescent="0.15">
      <c r="A4" s="21">
        <v>2</v>
      </c>
      <c r="B4" s="9" t="s">
        <v>15</v>
      </c>
      <c r="C4" s="9" t="s">
        <v>16</v>
      </c>
      <c r="D4" s="10">
        <v>285.08999999999997</v>
      </c>
      <c r="E4" s="10">
        <v>285.08999999999997</v>
      </c>
      <c r="F4" s="10">
        <v>13.01</v>
      </c>
      <c r="G4" s="22">
        <f t="shared" ref="G4:G67" si="1">E4/1000+G3</f>
        <v>0.69469999999999998</v>
      </c>
      <c r="H4" s="21" t="s">
        <v>11</v>
      </c>
      <c r="I4" s="9"/>
      <c r="J4" s="6"/>
      <c r="K4" s="6"/>
      <c r="L4" s="7">
        <f t="shared" si="0"/>
        <v>285.08999999999997</v>
      </c>
      <c r="M4" s="6"/>
    </row>
    <row r="5" spans="1:19" ht="14" x14ac:dyDescent="0.15">
      <c r="A5" s="21">
        <v>3</v>
      </c>
      <c r="B5" s="9" t="s">
        <v>17</v>
      </c>
      <c r="C5" s="9" t="s">
        <v>16</v>
      </c>
      <c r="D5" s="10">
        <v>309.25</v>
      </c>
      <c r="E5" s="10">
        <v>309.25</v>
      </c>
      <c r="F5" s="10">
        <v>1.22</v>
      </c>
      <c r="G5" s="22">
        <f t="shared" si="1"/>
        <v>1.0039500000000001</v>
      </c>
      <c r="H5" s="21" t="s">
        <v>11</v>
      </c>
      <c r="I5" s="9"/>
      <c r="J5" s="6"/>
      <c r="K5" s="6"/>
      <c r="L5" s="7">
        <f t="shared" si="0"/>
        <v>309.25</v>
      </c>
      <c r="M5" s="6"/>
    </row>
    <row r="6" spans="1:19" ht="14" x14ac:dyDescent="0.15">
      <c r="A6" s="21">
        <v>4</v>
      </c>
      <c r="B6" s="9" t="s">
        <v>18</v>
      </c>
      <c r="C6" s="9" t="s">
        <v>19</v>
      </c>
      <c r="D6" s="10">
        <v>204.51</v>
      </c>
      <c r="E6" s="10">
        <v>213.01</v>
      </c>
      <c r="F6" s="10">
        <v>49.15</v>
      </c>
      <c r="G6" s="22">
        <f t="shared" si="1"/>
        <v>1.21696</v>
      </c>
      <c r="H6" s="21" t="s">
        <v>11</v>
      </c>
      <c r="I6" s="9"/>
      <c r="J6" s="6"/>
      <c r="K6" s="7">
        <f>D6+8.5</f>
        <v>213.01</v>
      </c>
      <c r="L6" s="7">
        <f t="shared" si="0"/>
        <v>213.01</v>
      </c>
      <c r="M6" s="6"/>
    </row>
    <row r="7" spans="1:19" ht="14" x14ac:dyDescent="0.15">
      <c r="A7" s="21">
        <v>5</v>
      </c>
      <c r="B7" s="9" t="s">
        <v>20</v>
      </c>
      <c r="C7" s="9" t="s">
        <v>16</v>
      </c>
      <c r="D7" s="10">
        <v>345</v>
      </c>
      <c r="E7" s="10">
        <v>345</v>
      </c>
      <c r="F7" s="10">
        <v>3.35</v>
      </c>
      <c r="G7" s="22">
        <f t="shared" si="1"/>
        <v>1.56196</v>
      </c>
      <c r="H7" s="21" t="s">
        <v>11</v>
      </c>
      <c r="I7" s="9"/>
      <c r="K7"/>
      <c r="L7" s="7">
        <f t="shared" si="0"/>
        <v>345</v>
      </c>
      <c r="M7" s="6"/>
    </row>
    <row r="8" spans="1:19" ht="14" x14ac:dyDescent="0.15">
      <c r="A8" s="21">
        <v>6</v>
      </c>
      <c r="B8" s="9" t="s">
        <v>21</v>
      </c>
      <c r="C8" s="9" t="s">
        <v>19</v>
      </c>
      <c r="D8" s="10">
        <v>320.85000000000002</v>
      </c>
      <c r="E8" s="10">
        <v>329.35</v>
      </c>
      <c r="F8" s="10">
        <v>17.13</v>
      </c>
      <c r="G8" s="22">
        <f t="shared" si="1"/>
        <v>1.89131</v>
      </c>
      <c r="H8" s="21" t="s">
        <v>11</v>
      </c>
      <c r="I8" s="9"/>
      <c r="K8" s="7">
        <f>D8+8.5</f>
        <v>329.35</v>
      </c>
      <c r="L8" s="7">
        <f t="shared" si="0"/>
        <v>329.35</v>
      </c>
      <c r="M8" s="6"/>
    </row>
    <row r="9" spans="1:19" ht="14" x14ac:dyDescent="0.15">
      <c r="A9" s="21">
        <v>7</v>
      </c>
      <c r="B9" s="9" t="s">
        <v>22</v>
      </c>
      <c r="C9" s="9" t="s">
        <v>23</v>
      </c>
      <c r="D9" s="10">
        <v>252.38</v>
      </c>
      <c r="E9" s="10">
        <v>252.38</v>
      </c>
      <c r="F9" s="10">
        <v>1.61</v>
      </c>
      <c r="G9" s="22">
        <f t="shared" si="1"/>
        <v>2.1436899999999999</v>
      </c>
      <c r="H9" s="21" t="s">
        <v>11</v>
      </c>
      <c r="I9" s="9"/>
      <c r="K9"/>
      <c r="L9" s="7">
        <f t="shared" si="0"/>
        <v>252.38</v>
      </c>
      <c r="M9" s="6"/>
    </row>
    <row r="10" spans="1:19" ht="14" x14ac:dyDescent="0.15">
      <c r="A10" s="21">
        <v>8</v>
      </c>
      <c r="B10" s="9" t="s">
        <v>24</v>
      </c>
      <c r="C10" s="9" t="s">
        <v>23</v>
      </c>
      <c r="D10" s="10">
        <v>327.86</v>
      </c>
      <c r="E10" s="10">
        <v>327.86</v>
      </c>
      <c r="F10" s="10">
        <v>0.99</v>
      </c>
      <c r="G10" s="22">
        <f t="shared" si="1"/>
        <v>2.4715499999999997</v>
      </c>
      <c r="H10" s="21" t="s">
        <v>11</v>
      </c>
      <c r="I10" s="9"/>
      <c r="K10"/>
      <c r="L10" s="7">
        <f t="shared" si="0"/>
        <v>327.86</v>
      </c>
      <c r="M10" s="6"/>
    </row>
    <row r="11" spans="1:19" ht="14" x14ac:dyDescent="0.15">
      <c r="A11" s="21">
        <v>9</v>
      </c>
      <c r="B11" s="9" t="s">
        <v>25</v>
      </c>
      <c r="C11" s="9" t="s">
        <v>19</v>
      </c>
      <c r="D11" s="10">
        <v>333.7</v>
      </c>
      <c r="E11" s="10">
        <v>342.2</v>
      </c>
      <c r="F11" s="10">
        <v>42.48</v>
      </c>
      <c r="G11" s="22">
        <f t="shared" si="1"/>
        <v>2.8137499999999998</v>
      </c>
      <c r="H11" s="21" t="s">
        <v>11</v>
      </c>
      <c r="I11" s="9"/>
      <c r="K11" s="7">
        <f>D11+8.5</f>
        <v>342.2</v>
      </c>
      <c r="L11" s="7">
        <f t="shared" si="0"/>
        <v>342.2</v>
      </c>
      <c r="M11" s="6"/>
    </row>
    <row r="12" spans="1:19" ht="14" x14ac:dyDescent="0.15">
      <c r="A12" s="21">
        <v>10</v>
      </c>
      <c r="B12" s="9" t="s">
        <v>26</v>
      </c>
      <c r="C12" s="9" t="s">
        <v>23</v>
      </c>
      <c r="D12" s="10">
        <v>263.17</v>
      </c>
      <c r="E12" s="10">
        <v>263.17</v>
      </c>
      <c r="F12" s="10">
        <v>0.08</v>
      </c>
      <c r="G12" s="22">
        <f t="shared" si="1"/>
        <v>3.0769199999999999</v>
      </c>
      <c r="H12" s="21" t="s">
        <v>11</v>
      </c>
      <c r="I12" s="9"/>
      <c r="K12"/>
      <c r="L12" s="7">
        <f t="shared" si="0"/>
        <v>263.17</v>
      </c>
      <c r="M12" s="6"/>
    </row>
    <row r="13" spans="1:19" ht="14" x14ac:dyDescent="0.15">
      <c r="A13" s="21">
        <v>11</v>
      </c>
      <c r="B13" s="9" t="s">
        <v>27</v>
      </c>
      <c r="C13" s="9" t="s">
        <v>28</v>
      </c>
      <c r="D13" s="10">
        <v>273.69</v>
      </c>
      <c r="E13" s="10">
        <v>282.19</v>
      </c>
      <c r="F13" s="10">
        <v>25.62</v>
      </c>
      <c r="G13" s="22">
        <f t="shared" si="1"/>
        <v>3.3591099999999998</v>
      </c>
      <c r="H13" s="21" t="s">
        <v>11</v>
      </c>
      <c r="I13" s="9"/>
      <c r="K13" s="7">
        <f>D13+8.5</f>
        <v>282.19</v>
      </c>
      <c r="L13" s="7">
        <f t="shared" si="0"/>
        <v>282.19</v>
      </c>
      <c r="M13" s="6"/>
    </row>
    <row r="14" spans="1:19" ht="14" x14ac:dyDescent="0.15">
      <c r="A14" s="21">
        <v>12</v>
      </c>
      <c r="B14" s="9" t="s">
        <v>29</v>
      </c>
      <c r="C14" s="9" t="s">
        <v>23</v>
      </c>
      <c r="D14" s="10">
        <v>333.32</v>
      </c>
      <c r="E14" s="10">
        <v>333.32</v>
      </c>
      <c r="F14" s="10">
        <v>1.02</v>
      </c>
      <c r="G14" s="22">
        <f t="shared" si="1"/>
        <v>3.6924299999999999</v>
      </c>
      <c r="H14" s="21" t="s">
        <v>11</v>
      </c>
      <c r="I14" s="9"/>
      <c r="K14"/>
      <c r="L14" s="7">
        <f t="shared" si="0"/>
        <v>333.32</v>
      </c>
      <c r="M14" s="6"/>
    </row>
    <row r="15" spans="1:19" ht="14" x14ac:dyDescent="0.15">
      <c r="A15" s="21">
        <v>13</v>
      </c>
      <c r="B15" s="9" t="s">
        <v>30</v>
      </c>
      <c r="C15" s="9" t="s">
        <v>28</v>
      </c>
      <c r="D15" s="10">
        <v>302.68</v>
      </c>
      <c r="E15" s="10">
        <v>311.18</v>
      </c>
      <c r="F15" s="10">
        <v>23.62</v>
      </c>
      <c r="G15" s="22">
        <f t="shared" si="1"/>
        <v>4.0036100000000001</v>
      </c>
      <c r="H15" s="21" t="s">
        <v>11</v>
      </c>
      <c r="I15" s="9"/>
      <c r="K15" s="7">
        <f t="shared" ref="K15:K16" si="2">D15+8.5</f>
        <v>311.18</v>
      </c>
      <c r="L15" s="7">
        <f t="shared" si="0"/>
        <v>311.18</v>
      </c>
      <c r="M15" s="6"/>
    </row>
    <row r="16" spans="1:19" ht="14" x14ac:dyDescent="0.15">
      <c r="A16" s="21">
        <v>14</v>
      </c>
      <c r="B16" s="9" t="s">
        <v>31</v>
      </c>
      <c r="C16" s="9" t="s">
        <v>28</v>
      </c>
      <c r="D16" s="10">
        <v>335.58</v>
      </c>
      <c r="E16" s="10">
        <v>344.08</v>
      </c>
      <c r="F16" s="10">
        <v>21.59</v>
      </c>
      <c r="G16" s="22">
        <f t="shared" si="1"/>
        <v>4.3476900000000001</v>
      </c>
      <c r="H16" s="21" t="s">
        <v>11</v>
      </c>
      <c r="I16" s="9"/>
      <c r="K16" s="7">
        <f t="shared" si="2"/>
        <v>344.08</v>
      </c>
      <c r="L16" s="7">
        <f t="shared" si="0"/>
        <v>344.08</v>
      </c>
      <c r="M16" s="6"/>
    </row>
    <row r="17" spans="1:13" ht="14" x14ac:dyDescent="0.15">
      <c r="A17" s="21">
        <v>15</v>
      </c>
      <c r="B17" s="9" t="s">
        <v>32</v>
      </c>
      <c r="C17" s="9" t="s">
        <v>23</v>
      </c>
      <c r="D17" s="10">
        <v>260.22000000000003</v>
      </c>
      <c r="E17" s="10">
        <v>260.22000000000003</v>
      </c>
      <c r="F17" s="10">
        <v>0.14000000000000001</v>
      </c>
      <c r="G17" s="22">
        <f t="shared" si="1"/>
        <v>4.6079100000000004</v>
      </c>
      <c r="H17" s="21" t="s">
        <v>11</v>
      </c>
      <c r="I17" s="9"/>
      <c r="K17"/>
      <c r="L17" s="7">
        <f t="shared" si="0"/>
        <v>260.22000000000003</v>
      </c>
      <c r="M17" s="6"/>
    </row>
    <row r="18" spans="1:13" ht="14" x14ac:dyDescent="0.15">
      <c r="A18" s="21">
        <v>16</v>
      </c>
      <c r="B18" s="9" t="s">
        <v>33</v>
      </c>
      <c r="C18" s="9" t="s">
        <v>16</v>
      </c>
      <c r="D18" s="10">
        <v>349.1</v>
      </c>
      <c r="E18" s="10">
        <v>349.1</v>
      </c>
      <c r="F18" s="10">
        <v>3.13</v>
      </c>
      <c r="G18" s="22">
        <f t="shared" si="1"/>
        <v>4.9570100000000004</v>
      </c>
      <c r="H18" s="21" t="s">
        <v>11</v>
      </c>
      <c r="I18" s="9"/>
      <c r="K18"/>
      <c r="L18" s="7">
        <f t="shared" si="0"/>
        <v>349.1</v>
      </c>
      <c r="M18" s="6"/>
    </row>
    <row r="19" spans="1:13" ht="14" x14ac:dyDescent="0.15">
      <c r="A19" s="21">
        <v>17</v>
      </c>
      <c r="B19" s="9" t="s">
        <v>34</v>
      </c>
      <c r="C19" s="9" t="s">
        <v>19</v>
      </c>
      <c r="D19" s="10">
        <v>176.52</v>
      </c>
      <c r="E19" s="10">
        <v>185.02</v>
      </c>
      <c r="F19" s="10">
        <v>52.14</v>
      </c>
      <c r="G19" s="22">
        <f t="shared" si="1"/>
        <v>5.1420300000000001</v>
      </c>
      <c r="H19" s="21" t="s">
        <v>11</v>
      </c>
      <c r="I19" s="9"/>
      <c r="K19" s="7">
        <f>D19+8.5</f>
        <v>185.02</v>
      </c>
      <c r="L19" s="7">
        <f t="shared" si="0"/>
        <v>185.02</v>
      </c>
      <c r="M19" s="6"/>
    </row>
    <row r="20" spans="1:13" ht="14" x14ac:dyDescent="0.15">
      <c r="A20" s="21">
        <v>18</v>
      </c>
      <c r="B20" s="9" t="s">
        <v>35</v>
      </c>
      <c r="C20" s="9" t="s">
        <v>16</v>
      </c>
      <c r="D20" s="10">
        <v>292.26</v>
      </c>
      <c r="E20" s="10">
        <v>292.26</v>
      </c>
      <c r="F20" s="10">
        <v>0.12</v>
      </c>
      <c r="G20" s="22">
        <f t="shared" si="1"/>
        <v>5.4342899999999998</v>
      </c>
      <c r="H20" s="21" t="s">
        <v>11</v>
      </c>
      <c r="I20" s="9"/>
      <c r="K20"/>
      <c r="L20" s="7">
        <f t="shared" si="0"/>
        <v>292.26</v>
      </c>
      <c r="M20" s="6"/>
    </row>
    <row r="21" spans="1:13" ht="14" x14ac:dyDescent="0.15">
      <c r="A21" s="21">
        <v>19</v>
      </c>
      <c r="B21" s="9" t="s">
        <v>36</v>
      </c>
      <c r="C21" s="9" t="s">
        <v>16</v>
      </c>
      <c r="D21" s="10">
        <v>373.96</v>
      </c>
      <c r="E21" s="10">
        <v>373.96</v>
      </c>
      <c r="F21" s="10">
        <v>2.09</v>
      </c>
      <c r="G21" s="22">
        <f t="shared" si="1"/>
        <v>5.8082500000000001</v>
      </c>
      <c r="H21" s="21" t="s">
        <v>11</v>
      </c>
      <c r="I21" s="9"/>
      <c r="K21"/>
      <c r="L21" s="7">
        <f t="shared" si="0"/>
        <v>373.96</v>
      </c>
      <c r="M21" s="6"/>
    </row>
    <row r="22" spans="1:13" ht="14" x14ac:dyDescent="0.15">
      <c r="A22" s="21">
        <v>20</v>
      </c>
      <c r="B22" s="9" t="s">
        <v>37</v>
      </c>
      <c r="C22" s="9" t="s">
        <v>19</v>
      </c>
      <c r="D22" s="10">
        <v>345.44</v>
      </c>
      <c r="E22" s="10">
        <v>353.94</v>
      </c>
      <c r="F22" s="10">
        <v>8.2200000000000006</v>
      </c>
      <c r="G22" s="22">
        <f t="shared" si="1"/>
        <v>6.1621899999999998</v>
      </c>
      <c r="H22" s="21" t="s">
        <v>11</v>
      </c>
      <c r="I22" s="9"/>
      <c r="K22" s="7">
        <f>D22+8.5</f>
        <v>353.94</v>
      </c>
      <c r="L22" s="7">
        <f t="shared" si="0"/>
        <v>353.94</v>
      </c>
      <c r="M22" s="6"/>
    </row>
    <row r="23" spans="1:13" ht="14" x14ac:dyDescent="0.15">
      <c r="A23" s="21">
        <v>21</v>
      </c>
      <c r="B23" s="9" t="s">
        <v>38</v>
      </c>
      <c r="C23" s="9" t="s">
        <v>16</v>
      </c>
      <c r="D23" s="10">
        <v>186.37</v>
      </c>
      <c r="E23" s="10">
        <v>186.37</v>
      </c>
      <c r="F23" s="10">
        <v>0.87</v>
      </c>
      <c r="G23" s="22">
        <f t="shared" si="1"/>
        <v>6.34856</v>
      </c>
      <c r="H23" s="21" t="s">
        <v>11</v>
      </c>
      <c r="I23" s="9"/>
      <c r="K23"/>
      <c r="L23" s="7">
        <f t="shared" si="0"/>
        <v>186.37</v>
      </c>
      <c r="M23" s="6"/>
    </row>
    <row r="24" spans="1:13" ht="14" x14ac:dyDescent="0.15">
      <c r="A24" s="21">
        <v>22</v>
      </c>
      <c r="B24" s="9" t="s">
        <v>39</v>
      </c>
      <c r="C24" s="9" t="s">
        <v>19</v>
      </c>
      <c r="D24" s="10">
        <v>270.76</v>
      </c>
      <c r="E24" s="10">
        <v>279.26</v>
      </c>
      <c r="F24" s="10">
        <v>25.37</v>
      </c>
      <c r="G24" s="22">
        <f t="shared" si="1"/>
        <v>6.6278199999999998</v>
      </c>
      <c r="H24" s="21" t="s">
        <v>11</v>
      </c>
      <c r="I24" s="9"/>
      <c r="K24" s="7">
        <f t="shared" ref="K24:K25" si="3">D24+8.5</f>
        <v>279.26</v>
      </c>
      <c r="L24" s="7">
        <f t="shared" si="0"/>
        <v>279.26</v>
      </c>
      <c r="M24" s="6"/>
    </row>
    <row r="25" spans="1:13" ht="14" x14ac:dyDescent="0.15">
      <c r="A25" s="21">
        <v>23</v>
      </c>
      <c r="B25" s="9" t="s">
        <v>40</v>
      </c>
      <c r="C25" s="9" t="s">
        <v>19</v>
      </c>
      <c r="D25" s="10">
        <v>351.89</v>
      </c>
      <c r="E25" s="10">
        <v>360.39</v>
      </c>
      <c r="F25" s="10">
        <v>15.94</v>
      </c>
      <c r="G25" s="22">
        <f t="shared" si="1"/>
        <v>6.9882099999999996</v>
      </c>
      <c r="H25" s="21" t="s">
        <v>11</v>
      </c>
      <c r="I25" s="9"/>
      <c r="K25" s="7">
        <f t="shared" si="3"/>
        <v>360.39</v>
      </c>
      <c r="L25" s="7">
        <f t="shared" si="0"/>
        <v>360.39</v>
      </c>
      <c r="M25" s="6"/>
    </row>
    <row r="26" spans="1:13" ht="14" x14ac:dyDescent="0.15">
      <c r="A26" s="21">
        <v>24</v>
      </c>
      <c r="B26" s="9" t="s">
        <v>41</v>
      </c>
      <c r="C26" s="9" t="s">
        <v>23</v>
      </c>
      <c r="D26" s="10">
        <v>307.39</v>
      </c>
      <c r="E26" s="10">
        <v>307.39</v>
      </c>
      <c r="F26" s="10">
        <v>0.34</v>
      </c>
      <c r="G26" s="22">
        <f t="shared" si="1"/>
        <v>7.2955999999999994</v>
      </c>
      <c r="H26" s="21" t="s">
        <v>11</v>
      </c>
      <c r="I26" s="9"/>
      <c r="K26"/>
      <c r="L26" s="7">
        <f t="shared" si="0"/>
        <v>307.39</v>
      </c>
      <c r="M26" s="6"/>
    </row>
    <row r="27" spans="1:13" ht="14" x14ac:dyDescent="0.15">
      <c r="A27" s="21">
        <v>25</v>
      </c>
      <c r="B27" s="9" t="s">
        <v>42</v>
      </c>
      <c r="C27" s="9" t="s">
        <v>23</v>
      </c>
      <c r="D27" s="10">
        <v>331.74</v>
      </c>
      <c r="E27" s="10">
        <v>331.74</v>
      </c>
      <c r="F27" s="10">
        <v>0.23</v>
      </c>
      <c r="G27" s="22">
        <f t="shared" si="1"/>
        <v>7.6273399999999993</v>
      </c>
      <c r="H27" s="21" t="s">
        <v>11</v>
      </c>
      <c r="I27" s="9"/>
      <c r="K27"/>
      <c r="L27" s="7">
        <f t="shared" si="0"/>
        <v>331.74</v>
      </c>
      <c r="M27" s="6"/>
    </row>
    <row r="28" spans="1:13" ht="14" x14ac:dyDescent="0.15">
      <c r="A28" s="21">
        <v>26</v>
      </c>
      <c r="B28" s="9" t="s">
        <v>43</v>
      </c>
      <c r="C28" s="9" t="s">
        <v>19</v>
      </c>
      <c r="D28" s="10">
        <v>279.66000000000003</v>
      </c>
      <c r="E28" s="10">
        <v>288.16000000000003</v>
      </c>
      <c r="F28" s="10">
        <v>39.68</v>
      </c>
      <c r="G28" s="22">
        <f t="shared" si="1"/>
        <v>7.9154999999999998</v>
      </c>
      <c r="H28" s="21" t="s">
        <v>11</v>
      </c>
      <c r="I28" s="9"/>
      <c r="K28" s="7">
        <f>D28+8.5</f>
        <v>288.16000000000003</v>
      </c>
      <c r="L28" s="7">
        <f t="shared" si="0"/>
        <v>288.16000000000003</v>
      </c>
      <c r="M28" s="6"/>
    </row>
    <row r="29" spans="1:13" ht="14" x14ac:dyDescent="0.15">
      <c r="A29" s="21">
        <v>27</v>
      </c>
      <c r="B29" s="9" t="s">
        <v>44</v>
      </c>
      <c r="C29" s="9" t="s">
        <v>23</v>
      </c>
      <c r="D29" s="10">
        <v>353.73</v>
      </c>
      <c r="E29" s="10">
        <v>353.73</v>
      </c>
      <c r="F29" s="10">
        <v>0.79</v>
      </c>
      <c r="G29" s="22">
        <f t="shared" si="1"/>
        <v>8.2692300000000003</v>
      </c>
      <c r="H29" s="21" t="s">
        <v>11</v>
      </c>
      <c r="I29" s="9"/>
      <c r="K29"/>
      <c r="L29" s="7">
        <f t="shared" si="0"/>
        <v>353.73</v>
      </c>
      <c r="M29" s="6"/>
    </row>
    <row r="30" spans="1:13" ht="14" x14ac:dyDescent="0.15">
      <c r="A30" s="21">
        <v>28</v>
      </c>
      <c r="B30" s="9" t="s">
        <v>45</v>
      </c>
      <c r="C30" s="9" t="s">
        <v>23</v>
      </c>
      <c r="D30" s="10">
        <v>321.87</v>
      </c>
      <c r="E30" s="10">
        <v>321.87</v>
      </c>
      <c r="F30" s="10">
        <v>0.78</v>
      </c>
      <c r="G30" s="22">
        <f t="shared" si="1"/>
        <v>8.5911000000000008</v>
      </c>
      <c r="H30" s="21" t="s">
        <v>11</v>
      </c>
      <c r="I30" s="9"/>
      <c r="K30"/>
      <c r="L30" s="7">
        <f t="shared" si="0"/>
        <v>321.87</v>
      </c>
      <c r="M30" s="6"/>
    </row>
    <row r="31" spans="1:13" ht="14" x14ac:dyDescent="0.15">
      <c r="A31" s="21">
        <v>29</v>
      </c>
      <c r="B31" s="9" t="s">
        <v>46</v>
      </c>
      <c r="C31" s="9" t="s">
        <v>23</v>
      </c>
      <c r="D31" s="10">
        <v>352.88</v>
      </c>
      <c r="E31" s="10">
        <v>352.88</v>
      </c>
      <c r="F31" s="10">
        <v>0.31</v>
      </c>
      <c r="G31" s="22">
        <f t="shared" si="1"/>
        <v>8.9439800000000016</v>
      </c>
      <c r="H31" s="21" t="s">
        <v>11</v>
      </c>
      <c r="I31" s="9"/>
      <c r="K31"/>
      <c r="L31" s="7">
        <f t="shared" si="0"/>
        <v>352.88</v>
      </c>
      <c r="M31" s="6"/>
    </row>
    <row r="32" spans="1:13" ht="14" x14ac:dyDescent="0.15">
      <c r="A32" s="21">
        <v>30</v>
      </c>
      <c r="B32" s="9" t="s">
        <v>47</v>
      </c>
      <c r="C32" s="9" t="s">
        <v>23</v>
      </c>
      <c r="D32" s="10">
        <v>325.11</v>
      </c>
      <c r="E32" s="10">
        <v>325.11</v>
      </c>
      <c r="F32" s="10">
        <v>0.24</v>
      </c>
      <c r="G32" s="22">
        <f t="shared" si="1"/>
        <v>9.269090000000002</v>
      </c>
      <c r="H32" s="21" t="s">
        <v>11</v>
      </c>
      <c r="I32" s="9"/>
      <c r="K32"/>
      <c r="L32" s="7">
        <f t="shared" si="0"/>
        <v>325.11</v>
      </c>
      <c r="M32" s="6"/>
    </row>
    <row r="33" spans="1:13" ht="14" x14ac:dyDescent="0.15">
      <c r="A33" s="21">
        <v>31</v>
      </c>
      <c r="B33" s="9" t="s">
        <v>48</v>
      </c>
      <c r="C33" s="9" t="s">
        <v>23</v>
      </c>
      <c r="D33" s="10">
        <v>320.45999999999998</v>
      </c>
      <c r="E33" s="10">
        <v>320.45999999999998</v>
      </c>
      <c r="F33" s="10">
        <v>0.03</v>
      </c>
      <c r="G33" s="22">
        <f t="shared" si="1"/>
        <v>9.5895500000000027</v>
      </c>
      <c r="H33" s="21" t="s">
        <v>11</v>
      </c>
      <c r="I33" s="9"/>
      <c r="K33"/>
      <c r="L33" s="7">
        <f t="shared" si="0"/>
        <v>320.45999999999998</v>
      </c>
      <c r="M33" s="6"/>
    </row>
    <row r="34" spans="1:13" ht="14" x14ac:dyDescent="0.15">
      <c r="A34" s="21">
        <v>32</v>
      </c>
      <c r="B34" s="9" t="s">
        <v>49</v>
      </c>
      <c r="C34" s="9" t="s">
        <v>23</v>
      </c>
      <c r="D34" s="10">
        <v>281.5</v>
      </c>
      <c r="E34" s="10">
        <v>281.5</v>
      </c>
      <c r="F34" s="10">
        <v>0.08</v>
      </c>
      <c r="G34" s="22">
        <f t="shared" si="1"/>
        <v>9.8710500000000021</v>
      </c>
      <c r="H34" s="21" t="s">
        <v>11</v>
      </c>
      <c r="I34" s="9"/>
      <c r="K34"/>
      <c r="L34" s="7">
        <f t="shared" si="0"/>
        <v>281.5</v>
      </c>
      <c r="M34" s="6"/>
    </row>
    <row r="35" spans="1:13" ht="14" x14ac:dyDescent="0.15">
      <c r="A35" s="21">
        <v>33</v>
      </c>
      <c r="B35" s="9" t="s">
        <v>50</v>
      </c>
      <c r="C35" s="9" t="s">
        <v>23</v>
      </c>
      <c r="D35" s="10">
        <v>340.45</v>
      </c>
      <c r="E35" s="10">
        <v>340.45</v>
      </c>
      <c r="F35" s="10">
        <v>0.28000000000000003</v>
      </c>
      <c r="G35" s="22">
        <f t="shared" si="1"/>
        <v>10.211500000000003</v>
      </c>
      <c r="H35" s="21" t="s">
        <v>11</v>
      </c>
      <c r="I35" s="9"/>
      <c r="K35"/>
      <c r="L35" s="7">
        <f t="shared" si="0"/>
        <v>340.45</v>
      </c>
      <c r="M35" s="6"/>
    </row>
    <row r="36" spans="1:13" ht="14" x14ac:dyDescent="0.15">
      <c r="A36" s="21">
        <v>34</v>
      </c>
      <c r="B36" s="9" t="s">
        <v>51</v>
      </c>
      <c r="C36" s="9" t="s">
        <v>23</v>
      </c>
      <c r="D36" s="10">
        <v>329.35</v>
      </c>
      <c r="E36" s="10">
        <v>329.35</v>
      </c>
      <c r="F36" s="10">
        <v>0.11</v>
      </c>
      <c r="G36" s="22">
        <f t="shared" si="1"/>
        <v>10.540850000000002</v>
      </c>
      <c r="H36" s="21" t="s">
        <v>11</v>
      </c>
      <c r="I36" s="9"/>
      <c r="K36"/>
      <c r="L36" s="7">
        <f t="shared" si="0"/>
        <v>329.35</v>
      </c>
      <c r="M36" s="6"/>
    </row>
    <row r="37" spans="1:13" ht="14" x14ac:dyDescent="0.15">
      <c r="A37" s="21">
        <v>35</v>
      </c>
      <c r="B37" s="9" t="s">
        <v>52</v>
      </c>
      <c r="C37" s="9" t="s">
        <v>23</v>
      </c>
      <c r="D37" s="10">
        <v>322.23</v>
      </c>
      <c r="E37" s="10">
        <v>322.23</v>
      </c>
      <c r="F37" s="10">
        <v>0.91</v>
      </c>
      <c r="G37" s="22">
        <f t="shared" si="1"/>
        <v>10.863080000000002</v>
      </c>
      <c r="H37" s="21" t="s">
        <v>11</v>
      </c>
      <c r="I37" s="9"/>
      <c r="K37"/>
      <c r="L37" s="7">
        <f t="shared" si="0"/>
        <v>322.23</v>
      </c>
      <c r="M37" s="6"/>
    </row>
    <row r="38" spans="1:13" ht="14" x14ac:dyDescent="0.15">
      <c r="A38" s="21">
        <v>36</v>
      </c>
      <c r="B38" s="9" t="s">
        <v>53</v>
      </c>
      <c r="C38" s="9" t="s">
        <v>19</v>
      </c>
      <c r="D38" s="10">
        <v>302.8</v>
      </c>
      <c r="E38" s="10">
        <v>311.3</v>
      </c>
      <c r="F38" s="10">
        <v>35.29</v>
      </c>
      <c r="G38" s="22">
        <f t="shared" si="1"/>
        <v>11.174380000000001</v>
      </c>
      <c r="H38" s="21" t="s">
        <v>11</v>
      </c>
      <c r="I38" s="9"/>
      <c r="K38" s="7">
        <f>D38+8.5</f>
        <v>311.3</v>
      </c>
      <c r="L38" s="7">
        <f t="shared" si="0"/>
        <v>311.3</v>
      </c>
      <c r="M38" s="6"/>
    </row>
    <row r="39" spans="1:13" ht="14" x14ac:dyDescent="0.15">
      <c r="A39" s="21">
        <v>37</v>
      </c>
      <c r="B39" s="9" t="s">
        <v>54</v>
      </c>
      <c r="C39" s="9" t="s">
        <v>23</v>
      </c>
      <c r="D39" s="10">
        <v>322.39999999999998</v>
      </c>
      <c r="E39" s="10">
        <v>322.39999999999998</v>
      </c>
      <c r="F39" s="10">
        <v>1.03</v>
      </c>
      <c r="G39" s="22">
        <f t="shared" si="1"/>
        <v>11.496780000000001</v>
      </c>
      <c r="H39" s="21" t="s">
        <v>11</v>
      </c>
      <c r="I39" s="9"/>
      <c r="K39"/>
      <c r="L39" s="7">
        <f t="shared" si="0"/>
        <v>322.39999999999998</v>
      </c>
      <c r="M39" s="6"/>
    </row>
    <row r="40" spans="1:13" ht="14" x14ac:dyDescent="0.15">
      <c r="A40" s="21">
        <v>38</v>
      </c>
      <c r="B40" s="9" t="s">
        <v>55</v>
      </c>
      <c r="C40" s="9" t="s">
        <v>23</v>
      </c>
      <c r="D40" s="10">
        <v>302.8</v>
      </c>
      <c r="E40" s="10">
        <v>302.8</v>
      </c>
      <c r="F40" s="10">
        <v>1.03</v>
      </c>
      <c r="G40" s="22">
        <f t="shared" si="1"/>
        <v>11.799580000000001</v>
      </c>
      <c r="H40" s="21" t="s">
        <v>11</v>
      </c>
      <c r="I40" s="9"/>
      <c r="K40"/>
      <c r="L40" s="7">
        <f t="shared" si="0"/>
        <v>302.8</v>
      </c>
      <c r="M40" s="6"/>
    </row>
    <row r="41" spans="1:13" ht="14" x14ac:dyDescent="0.15">
      <c r="A41" s="21">
        <v>39</v>
      </c>
      <c r="B41" s="9" t="s">
        <v>56</v>
      </c>
      <c r="C41" s="9" t="s">
        <v>23</v>
      </c>
      <c r="D41" s="10">
        <v>322.64</v>
      </c>
      <c r="E41" s="10">
        <v>322.64</v>
      </c>
      <c r="F41" s="10">
        <v>0.22</v>
      </c>
      <c r="G41" s="22">
        <f t="shared" si="1"/>
        <v>12.12222</v>
      </c>
      <c r="H41" s="21" t="s">
        <v>11</v>
      </c>
      <c r="I41" s="9"/>
      <c r="K41"/>
      <c r="L41" s="7">
        <f t="shared" si="0"/>
        <v>322.64</v>
      </c>
      <c r="M41" s="6"/>
    </row>
    <row r="42" spans="1:13" ht="14" x14ac:dyDescent="0.15">
      <c r="A42" s="21">
        <v>40</v>
      </c>
      <c r="B42" s="9" t="s">
        <v>57</v>
      </c>
      <c r="C42" s="9" t="s">
        <v>23</v>
      </c>
      <c r="D42" s="10">
        <v>355.91</v>
      </c>
      <c r="E42" s="10">
        <v>355.91</v>
      </c>
      <c r="F42" s="10">
        <v>1.1000000000000001</v>
      </c>
      <c r="G42" s="22">
        <f t="shared" si="1"/>
        <v>12.47813</v>
      </c>
      <c r="H42" s="21" t="s">
        <v>11</v>
      </c>
      <c r="I42" s="9"/>
      <c r="K42"/>
      <c r="L42" s="7">
        <f t="shared" si="0"/>
        <v>355.91</v>
      </c>
      <c r="M42" s="6"/>
    </row>
    <row r="43" spans="1:13" ht="14" x14ac:dyDescent="0.15">
      <c r="A43" s="21">
        <v>41</v>
      </c>
      <c r="B43" s="9" t="s">
        <v>58</v>
      </c>
      <c r="C43" s="9" t="s">
        <v>23</v>
      </c>
      <c r="D43" s="10">
        <v>344.13</v>
      </c>
      <c r="E43" s="10">
        <v>344.13</v>
      </c>
      <c r="F43" s="10">
        <v>1.32</v>
      </c>
      <c r="G43" s="22">
        <f t="shared" si="1"/>
        <v>12.82226</v>
      </c>
      <c r="H43" s="21" t="s">
        <v>11</v>
      </c>
      <c r="I43" s="9"/>
      <c r="K43"/>
      <c r="L43" s="7">
        <f t="shared" si="0"/>
        <v>344.13</v>
      </c>
      <c r="M43" s="6"/>
    </row>
    <row r="44" spans="1:13" ht="14" x14ac:dyDescent="0.15">
      <c r="A44" s="21">
        <v>42</v>
      </c>
      <c r="B44" s="9" t="s">
        <v>59</v>
      </c>
      <c r="C44" s="9" t="s">
        <v>23</v>
      </c>
      <c r="D44" s="10">
        <v>251.78</v>
      </c>
      <c r="E44" s="10">
        <v>251.78</v>
      </c>
      <c r="F44" s="10">
        <v>0.88</v>
      </c>
      <c r="G44" s="22">
        <f t="shared" si="1"/>
        <v>13.07404</v>
      </c>
      <c r="H44" s="21" t="s">
        <v>11</v>
      </c>
      <c r="I44" s="9"/>
      <c r="K44"/>
      <c r="L44" s="7">
        <f t="shared" si="0"/>
        <v>251.78</v>
      </c>
      <c r="M44" s="6"/>
    </row>
    <row r="45" spans="1:13" ht="14" x14ac:dyDescent="0.15">
      <c r="A45" s="21">
        <v>43</v>
      </c>
      <c r="B45" s="9" t="s">
        <v>60</v>
      </c>
      <c r="C45" s="9" t="s">
        <v>16</v>
      </c>
      <c r="D45" s="10">
        <v>300.95999999999998</v>
      </c>
      <c r="E45" s="10">
        <v>300.95999999999998</v>
      </c>
      <c r="F45" s="10">
        <v>12.65</v>
      </c>
      <c r="G45" s="22">
        <f t="shared" si="1"/>
        <v>13.375</v>
      </c>
      <c r="H45" s="21" t="s">
        <v>11</v>
      </c>
      <c r="I45" s="9"/>
      <c r="K45"/>
      <c r="L45" s="7">
        <f t="shared" si="0"/>
        <v>300.95999999999998</v>
      </c>
      <c r="M45" s="6"/>
    </row>
    <row r="46" spans="1:13" ht="14" x14ac:dyDescent="0.15">
      <c r="A46" s="21">
        <v>44</v>
      </c>
      <c r="B46" s="9" t="s">
        <v>61</v>
      </c>
      <c r="C46" s="9" t="s">
        <v>23</v>
      </c>
      <c r="D46" s="10">
        <v>310.24</v>
      </c>
      <c r="E46" s="10">
        <v>310.24</v>
      </c>
      <c r="F46" s="10">
        <v>1.82</v>
      </c>
      <c r="G46" s="22">
        <f t="shared" si="1"/>
        <v>13.68524</v>
      </c>
      <c r="H46" s="21" t="s">
        <v>11</v>
      </c>
      <c r="I46" s="9"/>
      <c r="K46"/>
      <c r="L46" s="7">
        <f t="shared" si="0"/>
        <v>310.24</v>
      </c>
      <c r="M46" s="6"/>
    </row>
    <row r="47" spans="1:13" ht="14" x14ac:dyDescent="0.15">
      <c r="A47" s="21">
        <v>45</v>
      </c>
      <c r="B47" s="9" t="s">
        <v>62</v>
      </c>
      <c r="C47" s="9" t="s">
        <v>23</v>
      </c>
      <c r="D47" s="10">
        <v>340.77</v>
      </c>
      <c r="E47" s="10">
        <v>340.77</v>
      </c>
      <c r="F47" s="10">
        <v>2.25</v>
      </c>
      <c r="G47" s="22">
        <f t="shared" si="1"/>
        <v>14.026009999999999</v>
      </c>
      <c r="H47" s="21" t="s">
        <v>11</v>
      </c>
      <c r="I47" s="9"/>
      <c r="K47"/>
      <c r="L47" s="7">
        <f t="shared" si="0"/>
        <v>340.77</v>
      </c>
      <c r="M47" s="6"/>
    </row>
    <row r="48" spans="1:13" ht="14" x14ac:dyDescent="0.15">
      <c r="A48" s="21">
        <v>46</v>
      </c>
      <c r="B48" s="9" t="s">
        <v>63</v>
      </c>
      <c r="C48" s="9" t="s">
        <v>23</v>
      </c>
      <c r="D48" s="10">
        <v>337.77</v>
      </c>
      <c r="E48" s="10">
        <v>337.77</v>
      </c>
      <c r="F48" s="10">
        <v>1.21</v>
      </c>
      <c r="G48" s="22">
        <f t="shared" si="1"/>
        <v>14.36378</v>
      </c>
      <c r="H48" s="21" t="s">
        <v>11</v>
      </c>
      <c r="I48" s="9"/>
      <c r="K48"/>
      <c r="L48" s="7">
        <f t="shared" si="0"/>
        <v>337.77</v>
      </c>
      <c r="M48" s="6"/>
    </row>
    <row r="49" spans="1:13" ht="14" x14ac:dyDescent="0.15">
      <c r="A49" s="21">
        <v>47</v>
      </c>
      <c r="B49" s="9" t="s">
        <v>64</v>
      </c>
      <c r="C49" s="9" t="s">
        <v>23</v>
      </c>
      <c r="D49" s="10">
        <v>331.08</v>
      </c>
      <c r="E49" s="10">
        <v>331.08</v>
      </c>
      <c r="F49" s="10">
        <v>0.89</v>
      </c>
      <c r="G49" s="22">
        <f t="shared" si="1"/>
        <v>14.69486</v>
      </c>
      <c r="H49" s="21" t="s">
        <v>11</v>
      </c>
      <c r="I49" s="9"/>
      <c r="K49"/>
      <c r="L49" s="7">
        <f t="shared" si="0"/>
        <v>331.08</v>
      </c>
      <c r="M49" s="6"/>
    </row>
    <row r="50" spans="1:13" ht="14" x14ac:dyDescent="0.15">
      <c r="A50" s="21">
        <v>48</v>
      </c>
      <c r="B50" s="9" t="s">
        <v>65</v>
      </c>
      <c r="C50" s="9" t="s">
        <v>23</v>
      </c>
      <c r="D50" s="10">
        <v>349.31</v>
      </c>
      <c r="E50" s="10">
        <v>349.31</v>
      </c>
      <c r="F50" s="10">
        <v>0.67</v>
      </c>
      <c r="G50" s="22">
        <f t="shared" si="1"/>
        <v>15.044170000000001</v>
      </c>
      <c r="H50" s="21" t="s">
        <v>11</v>
      </c>
      <c r="I50" s="9"/>
      <c r="K50"/>
      <c r="L50" s="7">
        <f t="shared" si="0"/>
        <v>349.31</v>
      </c>
      <c r="M50" s="6"/>
    </row>
    <row r="51" spans="1:13" ht="14" x14ac:dyDescent="0.15">
      <c r="A51" s="21">
        <v>49</v>
      </c>
      <c r="B51" s="9" t="s">
        <v>66</v>
      </c>
      <c r="C51" s="9" t="s">
        <v>23</v>
      </c>
      <c r="D51" s="10">
        <v>337.88</v>
      </c>
      <c r="E51" s="10">
        <v>337.88</v>
      </c>
      <c r="F51" s="10">
        <v>0.63</v>
      </c>
      <c r="G51" s="22">
        <f t="shared" si="1"/>
        <v>15.382050000000001</v>
      </c>
      <c r="H51" s="21" t="s">
        <v>11</v>
      </c>
      <c r="I51" s="9"/>
      <c r="K51"/>
      <c r="L51" s="7">
        <f t="shared" si="0"/>
        <v>337.88</v>
      </c>
      <c r="M51" s="6"/>
    </row>
    <row r="52" spans="1:13" ht="14" x14ac:dyDescent="0.15">
      <c r="A52" s="21">
        <v>50</v>
      </c>
      <c r="B52" s="9" t="s">
        <v>67</v>
      </c>
      <c r="C52" s="9" t="s">
        <v>23</v>
      </c>
      <c r="D52" s="10">
        <v>337.66</v>
      </c>
      <c r="E52" s="10">
        <v>337.66</v>
      </c>
      <c r="F52" s="10">
        <v>0.83</v>
      </c>
      <c r="G52" s="22">
        <f t="shared" si="1"/>
        <v>15.719710000000001</v>
      </c>
      <c r="H52" s="21" t="s">
        <v>11</v>
      </c>
      <c r="I52" s="9"/>
      <c r="K52"/>
      <c r="L52" s="7">
        <f t="shared" si="0"/>
        <v>337.66</v>
      </c>
      <c r="M52" s="6"/>
    </row>
    <row r="53" spans="1:13" ht="14" x14ac:dyDescent="0.15">
      <c r="A53" s="21">
        <v>51</v>
      </c>
      <c r="B53" s="9" t="s">
        <v>68</v>
      </c>
      <c r="C53" s="9" t="s">
        <v>23</v>
      </c>
      <c r="D53" s="10">
        <v>364.44</v>
      </c>
      <c r="E53" s="10">
        <v>364.44</v>
      </c>
      <c r="F53" s="10">
        <v>0.53</v>
      </c>
      <c r="G53" s="22">
        <f t="shared" si="1"/>
        <v>16.084150000000001</v>
      </c>
      <c r="H53" s="21" t="s">
        <v>11</v>
      </c>
      <c r="I53" s="9"/>
      <c r="K53"/>
      <c r="L53" s="7">
        <f t="shared" si="0"/>
        <v>364.44</v>
      </c>
      <c r="M53" s="6"/>
    </row>
    <row r="54" spans="1:13" ht="14" x14ac:dyDescent="0.15">
      <c r="A54" s="21">
        <v>52</v>
      </c>
      <c r="B54" s="9" t="s">
        <v>69</v>
      </c>
      <c r="C54" s="9" t="s">
        <v>23</v>
      </c>
      <c r="D54" s="10">
        <v>323.7</v>
      </c>
      <c r="E54" s="10">
        <v>323.7</v>
      </c>
      <c r="F54" s="10">
        <v>0.36</v>
      </c>
      <c r="G54" s="22">
        <f t="shared" si="1"/>
        <v>16.40785</v>
      </c>
      <c r="H54" s="21" t="s">
        <v>11</v>
      </c>
      <c r="I54" s="9"/>
      <c r="K54"/>
      <c r="L54" s="7">
        <f t="shared" si="0"/>
        <v>323.7</v>
      </c>
      <c r="M54" s="6"/>
    </row>
    <row r="55" spans="1:13" ht="14" x14ac:dyDescent="0.15">
      <c r="A55" s="21">
        <v>53</v>
      </c>
      <c r="B55" s="9" t="s">
        <v>70</v>
      </c>
      <c r="C55" s="9" t="s">
        <v>23</v>
      </c>
      <c r="D55" s="10">
        <v>342.37</v>
      </c>
      <c r="E55" s="10">
        <v>342.37</v>
      </c>
      <c r="F55" s="10">
        <v>0.49</v>
      </c>
      <c r="G55" s="22">
        <f t="shared" si="1"/>
        <v>16.750219999999999</v>
      </c>
      <c r="H55" s="21" t="s">
        <v>11</v>
      </c>
      <c r="I55" s="9"/>
      <c r="K55"/>
      <c r="L55" s="7">
        <f t="shared" si="0"/>
        <v>342.37</v>
      </c>
      <c r="M55" s="6"/>
    </row>
    <row r="56" spans="1:13" ht="14" x14ac:dyDescent="0.15">
      <c r="A56" s="21">
        <v>54</v>
      </c>
      <c r="B56" s="9" t="s">
        <v>71</v>
      </c>
      <c r="C56" s="9" t="s">
        <v>16</v>
      </c>
      <c r="D56" s="10">
        <v>336.46</v>
      </c>
      <c r="E56" s="10">
        <v>336.46</v>
      </c>
      <c r="F56" s="10">
        <v>8.76</v>
      </c>
      <c r="G56" s="22">
        <f t="shared" si="1"/>
        <v>17.086679999999998</v>
      </c>
      <c r="H56" s="21" t="s">
        <v>11</v>
      </c>
      <c r="I56" s="9"/>
      <c r="K56"/>
      <c r="L56" s="7">
        <f t="shared" si="0"/>
        <v>336.46</v>
      </c>
      <c r="M56" s="6"/>
    </row>
    <row r="57" spans="1:13" ht="14" x14ac:dyDescent="0.15">
      <c r="A57" s="21">
        <v>55</v>
      </c>
      <c r="B57" s="9" t="s">
        <v>72</v>
      </c>
      <c r="C57" s="9" t="s">
        <v>23</v>
      </c>
      <c r="D57" s="10">
        <v>283.02999999999997</v>
      </c>
      <c r="E57" s="10">
        <v>283.02999999999997</v>
      </c>
      <c r="F57" s="10">
        <v>0.9</v>
      </c>
      <c r="G57" s="22">
        <f t="shared" si="1"/>
        <v>17.369709999999998</v>
      </c>
      <c r="H57" s="21" t="s">
        <v>11</v>
      </c>
      <c r="I57" s="9"/>
      <c r="K57"/>
      <c r="L57" s="7">
        <f t="shared" si="0"/>
        <v>283.02999999999997</v>
      </c>
      <c r="M57" s="6"/>
    </row>
    <row r="58" spans="1:13" ht="14" x14ac:dyDescent="0.15">
      <c r="A58" s="21">
        <v>56</v>
      </c>
      <c r="B58" s="9" t="s">
        <v>73</v>
      </c>
      <c r="C58" s="9" t="s">
        <v>23</v>
      </c>
      <c r="D58" s="10">
        <v>288.25</v>
      </c>
      <c r="E58" s="10">
        <v>288.25</v>
      </c>
      <c r="F58" s="10">
        <v>0</v>
      </c>
      <c r="G58" s="22">
        <f t="shared" si="1"/>
        <v>17.657959999999999</v>
      </c>
      <c r="H58" s="21" t="s">
        <v>11</v>
      </c>
      <c r="I58" s="9"/>
      <c r="K58"/>
      <c r="L58" s="7">
        <f t="shared" si="0"/>
        <v>288.25</v>
      </c>
      <c r="M58" s="6"/>
    </row>
    <row r="59" spans="1:13" ht="14" x14ac:dyDescent="0.15">
      <c r="A59" s="21">
        <v>57</v>
      </c>
      <c r="B59" s="9" t="s">
        <v>74</v>
      </c>
      <c r="C59" s="9" t="s">
        <v>23</v>
      </c>
      <c r="D59" s="10">
        <v>317.07</v>
      </c>
      <c r="E59" s="10">
        <v>317.07</v>
      </c>
      <c r="F59" s="10">
        <v>0.49</v>
      </c>
      <c r="G59" s="22">
        <f t="shared" si="1"/>
        <v>17.97503</v>
      </c>
      <c r="H59" s="21" t="s">
        <v>11</v>
      </c>
      <c r="I59" s="9"/>
      <c r="K59"/>
      <c r="L59" s="7">
        <f t="shared" si="0"/>
        <v>317.07</v>
      </c>
      <c r="M59" s="6"/>
    </row>
    <row r="60" spans="1:13" ht="14" x14ac:dyDescent="0.15">
      <c r="A60" s="21">
        <v>58</v>
      </c>
      <c r="B60" s="9" t="s">
        <v>75</v>
      </c>
      <c r="C60" s="9" t="s">
        <v>23</v>
      </c>
      <c r="D60" s="10">
        <v>302.67</v>
      </c>
      <c r="E60" s="10">
        <v>302.67</v>
      </c>
      <c r="F60" s="10">
        <v>0.67</v>
      </c>
      <c r="G60" s="22">
        <f t="shared" si="1"/>
        <v>18.277699999999999</v>
      </c>
      <c r="H60" s="21" t="s">
        <v>11</v>
      </c>
      <c r="I60" s="9"/>
      <c r="K60"/>
      <c r="L60" s="7">
        <f t="shared" si="0"/>
        <v>302.67</v>
      </c>
      <c r="M60" s="6"/>
    </row>
    <row r="61" spans="1:13" ht="14" x14ac:dyDescent="0.15">
      <c r="A61" s="21">
        <v>59</v>
      </c>
      <c r="B61" s="9" t="s">
        <v>76</v>
      </c>
      <c r="C61" s="9" t="s">
        <v>19</v>
      </c>
      <c r="D61" s="10">
        <v>357.43</v>
      </c>
      <c r="E61" s="10">
        <v>365.93</v>
      </c>
      <c r="F61" s="10">
        <v>50.54</v>
      </c>
      <c r="G61" s="22">
        <f t="shared" si="1"/>
        <v>18.643629999999998</v>
      </c>
      <c r="H61" s="21" t="s">
        <v>11</v>
      </c>
      <c r="I61" s="9"/>
      <c r="K61" s="7">
        <f>D61+8.5</f>
        <v>365.93</v>
      </c>
      <c r="L61" s="7">
        <f t="shared" si="0"/>
        <v>365.93</v>
      </c>
      <c r="M61" s="6"/>
    </row>
    <row r="62" spans="1:13" ht="14" x14ac:dyDescent="0.15">
      <c r="A62" s="21">
        <v>60</v>
      </c>
      <c r="B62" s="9" t="s">
        <v>77</v>
      </c>
      <c r="C62" s="9" t="s">
        <v>23</v>
      </c>
      <c r="D62" s="10">
        <v>326.18</v>
      </c>
      <c r="E62" s="10">
        <v>326.18</v>
      </c>
      <c r="F62" s="10">
        <v>0</v>
      </c>
      <c r="G62" s="22">
        <f t="shared" si="1"/>
        <v>18.969809999999999</v>
      </c>
      <c r="H62" s="21" t="s">
        <v>11</v>
      </c>
      <c r="I62" s="9"/>
      <c r="K62"/>
      <c r="L62" s="7">
        <f t="shared" si="0"/>
        <v>326.18</v>
      </c>
      <c r="M62" s="6"/>
    </row>
    <row r="63" spans="1:13" ht="14" x14ac:dyDescent="0.15">
      <c r="A63" s="21">
        <v>61</v>
      </c>
      <c r="B63" s="9" t="s">
        <v>78</v>
      </c>
      <c r="C63" s="9" t="s">
        <v>23</v>
      </c>
      <c r="D63" s="10">
        <v>357.89</v>
      </c>
      <c r="E63" s="10">
        <v>357.89</v>
      </c>
      <c r="F63" s="10">
        <v>0.15</v>
      </c>
      <c r="G63" s="22">
        <f t="shared" si="1"/>
        <v>19.3277</v>
      </c>
      <c r="H63" s="21" t="s">
        <v>11</v>
      </c>
      <c r="I63" s="9"/>
      <c r="K63"/>
      <c r="L63" s="7">
        <f t="shared" si="0"/>
        <v>357.89</v>
      </c>
      <c r="M63" s="6"/>
    </row>
    <row r="64" spans="1:13" ht="14" x14ac:dyDescent="0.15">
      <c r="A64" s="21">
        <v>62</v>
      </c>
      <c r="B64" s="9" t="s">
        <v>79</v>
      </c>
      <c r="C64" s="9" t="s">
        <v>23</v>
      </c>
      <c r="D64" s="10">
        <v>340.91</v>
      </c>
      <c r="E64" s="10">
        <v>340.91</v>
      </c>
      <c r="F64" s="10">
        <v>0.65</v>
      </c>
      <c r="G64" s="22">
        <f t="shared" si="1"/>
        <v>19.668610000000001</v>
      </c>
      <c r="H64" s="21" t="s">
        <v>11</v>
      </c>
      <c r="I64" s="9"/>
      <c r="K64"/>
      <c r="L64" s="7">
        <f t="shared" si="0"/>
        <v>340.91</v>
      </c>
      <c r="M64" s="6"/>
    </row>
    <row r="65" spans="1:13" ht="14" x14ac:dyDescent="0.15">
      <c r="A65" s="21">
        <v>63</v>
      </c>
      <c r="B65" s="9" t="s">
        <v>80</v>
      </c>
      <c r="C65" s="9" t="s">
        <v>19</v>
      </c>
      <c r="D65" s="10">
        <v>344.02</v>
      </c>
      <c r="E65" s="10">
        <v>352.52</v>
      </c>
      <c r="F65" s="10">
        <v>60.56</v>
      </c>
      <c r="G65" s="22">
        <f t="shared" si="1"/>
        <v>20.021129999999999</v>
      </c>
      <c r="H65" s="21" t="s">
        <v>11</v>
      </c>
      <c r="I65" s="9"/>
      <c r="K65" s="7">
        <f>D65+8.5</f>
        <v>352.52</v>
      </c>
      <c r="L65" s="7">
        <f t="shared" si="0"/>
        <v>352.52</v>
      </c>
      <c r="M65" s="6"/>
    </row>
    <row r="66" spans="1:13" ht="14" x14ac:dyDescent="0.15">
      <c r="A66" s="21">
        <v>64</v>
      </c>
      <c r="B66" s="9" t="s">
        <v>81</v>
      </c>
      <c r="C66" s="9" t="s">
        <v>23</v>
      </c>
      <c r="D66" s="10">
        <v>352.41</v>
      </c>
      <c r="E66" s="10">
        <v>352.41</v>
      </c>
      <c r="F66" s="10">
        <v>0.66</v>
      </c>
      <c r="G66" s="22">
        <f t="shared" si="1"/>
        <v>20.373539999999998</v>
      </c>
      <c r="H66" s="21" t="s">
        <v>11</v>
      </c>
      <c r="I66" s="9"/>
      <c r="K66"/>
      <c r="L66" s="7">
        <f t="shared" si="0"/>
        <v>352.41</v>
      </c>
      <c r="M66" s="6"/>
    </row>
    <row r="67" spans="1:13" ht="14" x14ac:dyDescent="0.15">
      <c r="A67" s="21">
        <v>65</v>
      </c>
      <c r="B67" s="9" t="s">
        <v>82</v>
      </c>
      <c r="C67" s="9" t="s">
        <v>23</v>
      </c>
      <c r="D67" s="10">
        <v>346.37</v>
      </c>
      <c r="E67" s="10">
        <v>346.37</v>
      </c>
      <c r="F67" s="10">
        <v>0.24</v>
      </c>
      <c r="G67" s="22">
        <f t="shared" si="1"/>
        <v>20.719909999999999</v>
      </c>
      <c r="H67" s="21" t="s">
        <v>11</v>
      </c>
      <c r="I67" s="9"/>
      <c r="K67"/>
      <c r="L67" s="7">
        <f t="shared" ref="L67:L130" si="4">IF(K67&lt;&gt;"",K67,D67)</f>
        <v>346.37</v>
      </c>
      <c r="M67" s="6"/>
    </row>
    <row r="68" spans="1:13" ht="14" x14ac:dyDescent="0.15">
      <c r="A68" s="21">
        <v>66</v>
      </c>
      <c r="B68" s="9" t="s">
        <v>83</v>
      </c>
      <c r="C68" s="9" t="s">
        <v>23</v>
      </c>
      <c r="D68" s="10">
        <v>349.11</v>
      </c>
      <c r="E68" s="10">
        <v>349.11</v>
      </c>
      <c r="F68" s="10">
        <v>0.94</v>
      </c>
      <c r="G68" s="22">
        <f t="shared" ref="G68:G131" si="5">E68/1000+G67</f>
        <v>21.069019999999998</v>
      </c>
      <c r="H68" s="21" t="s">
        <v>11</v>
      </c>
      <c r="I68" s="9"/>
      <c r="K68"/>
      <c r="L68" s="7">
        <f t="shared" si="4"/>
        <v>349.11</v>
      </c>
      <c r="M68" s="6"/>
    </row>
    <row r="69" spans="1:13" ht="14" x14ac:dyDescent="0.15">
      <c r="A69" s="21">
        <v>67</v>
      </c>
      <c r="B69" s="9" t="s">
        <v>84</v>
      </c>
      <c r="C69" s="9" t="s">
        <v>23</v>
      </c>
      <c r="D69" s="10">
        <v>341.21</v>
      </c>
      <c r="E69" s="10">
        <v>341.21</v>
      </c>
      <c r="F69" s="10">
        <v>0.81</v>
      </c>
      <c r="G69" s="22">
        <f t="shared" si="5"/>
        <v>21.410229999999999</v>
      </c>
      <c r="H69" s="21" t="s">
        <v>11</v>
      </c>
      <c r="I69" s="9"/>
      <c r="K69"/>
      <c r="L69" s="7">
        <f t="shared" si="4"/>
        <v>341.21</v>
      </c>
      <c r="M69" s="6"/>
    </row>
    <row r="70" spans="1:13" ht="14" x14ac:dyDescent="0.15">
      <c r="A70" s="21">
        <v>68</v>
      </c>
      <c r="B70" s="9" t="s">
        <v>85</v>
      </c>
      <c r="C70" s="9" t="s">
        <v>23</v>
      </c>
      <c r="D70" s="10">
        <v>353.18</v>
      </c>
      <c r="E70" s="10">
        <v>353.18</v>
      </c>
      <c r="F70" s="10">
        <v>0.84</v>
      </c>
      <c r="G70" s="22">
        <f t="shared" si="5"/>
        <v>21.763409999999997</v>
      </c>
      <c r="H70" s="21" t="s">
        <v>11</v>
      </c>
      <c r="I70" s="9"/>
      <c r="K70"/>
      <c r="L70" s="7">
        <f t="shared" si="4"/>
        <v>353.18</v>
      </c>
      <c r="M70" s="6"/>
    </row>
    <row r="71" spans="1:13" ht="14" x14ac:dyDescent="0.15">
      <c r="A71" s="21">
        <v>69</v>
      </c>
      <c r="B71" s="9" t="s">
        <v>86</v>
      </c>
      <c r="C71" s="9" t="s">
        <v>19</v>
      </c>
      <c r="D71" s="10">
        <v>308.92</v>
      </c>
      <c r="E71" s="10">
        <v>317.42</v>
      </c>
      <c r="F71" s="10">
        <v>31.31</v>
      </c>
      <c r="G71" s="22">
        <f t="shared" si="5"/>
        <v>22.080829999999995</v>
      </c>
      <c r="H71" s="21" t="s">
        <v>11</v>
      </c>
      <c r="I71" s="9"/>
      <c r="K71" s="7">
        <f>D71+8.5</f>
        <v>317.42</v>
      </c>
      <c r="L71" s="7">
        <f t="shared" si="4"/>
        <v>317.42</v>
      </c>
      <c r="M71" s="6"/>
    </row>
    <row r="72" spans="1:13" ht="14" x14ac:dyDescent="0.15">
      <c r="A72" s="21">
        <v>70</v>
      </c>
      <c r="B72" s="9" t="s">
        <v>87</v>
      </c>
      <c r="C72" s="9" t="s">
        <v>23</v>
      </c>
      <c r="D72" s="10">
        <v>291.95</v>
      </c>
      <c r="E72" s="10">
        <v>291.95</v>
      </c>
      <c r="F72" s="10">
        <v>0.56999999999999995</v>
      </c>
      <c r="G72" s="22">
        <f t="shared" si="5"/>
        <v>22.372779999999995</v>
      </c>
      <c r="H72" s="21" t="s">
        <v>11</v>
      </c>
      <c r="I72" s="9"/>
      <c r="K72"/>
      <c r="L72" s="7">
        <f t="shared" si="4"/>
        <v>291.95</v>
      </c>
      <c r="M72" s="6"/>
    </row>
    <row r="73" spans="1:13" ht="14" x14ac:dyDescent="0.15">
      <c r="A73" s="21">
        <v>71</v>
      </c>
      <c r="B73" s="9" t="s">
        <v>88</v>
      </c>
      <c r="C73" s="9" t="s">
        <v>23</v>
      </c>
      <c r="D73" s="10">
        <v>391.35</v>
      </c>
      <c r="E73" s="10">
        <v>391.35</v>
      </c>
      <c r="F73" s="10">
        <v>0.64</v>
      </c>
      <c r="G73" s="22">
        <f t="shared" si="5"/>
        <v>22.764129999999994</v>
      </c>
      <c r="H73" s="21" t="s">
        <v>11</v>
      </c>
      <c r="I73" s="9"/>
      <c r="K73"/>
      <c r="L73" s="7">
        <f t="shared" si="4"/>
        <v>391.35</v>
      </c>
      <c r="M73" s="6"/>
    </row>
    <row r="74" spans="1:13" ht="14" x14ac:dyDescent="0.15">
      <c r="A74" s="21">
        <v>72</v>
      </c>
      <c r="B74" s="9" t="s">
        <v>89</v>
      </c>
      <c r="C74" s="9" t="s">
        <v>23</v>
      </c>
      <c r="D74" s="10">
        <v>307.87</v>
      </c>
      <c r="E74" s="10">
        <v>307.87</v>
      </c>
      <c r="F74" s="10">
        <v>0.4</v>
      </c>
      <c r="G74" s="22">
        <f t="shared" si="5"/>
        <v>23.071999999999996</v>
      </c>
      <c r="H74" s="21" t="s">
        <v>11</v>
      </c>
      <c r="I74" s="9"/>
      <c r="K74"/>
      <c r="L74" s="7">
        <f t="shared" si="4"/>
        <v>307.87</v>
      </c>
      <c r="M74" s="6"/>
    </row>
    <row r="75" spans="1:13" ht="14" x14ac:dyDescent="0.15">
      <c r="A75" s="21">
        <v>73</v>
      </c>
      <c r="B75" s="9" t="s">
        <v>90</v>
      </c>
      <c r="C75" s="9" t="s">
        <v>23</v>
      </c>
      <c r="D75" s="10">
        <v>337.18</v>
      </c>
      <c r="E75" s="10">
        <v>337.18</v>
      </c>
      <c r="F75" s="10">
        <v>0.01</v>
      </c>
      <c r="G75" s="22">
        <f t="shared" si="5"/>
        <v>23.409179999999996</v>
      </c>
      <c r="H75" s="21" t="s">
        <v>11</v>
      </c>
      <c r="I75" s="9"/>
      <c r="K75"/>
      <c r="L75" s="7">
        <f t="shared" si="4"/>
        <v>337.18</v>
      </c>
      <c r="M75" s="6"/>
    </row>
    <row r="76" spans="1:13" ht="14" x14ac:dyDescent="0.15">
      <c r="A76" s="21">
        <v>74</v>
      </c>
      <c r="B76" s="9" t="s">
        <v>91</v>
      </c>
      <c r="C76" s="9" t="s">
        <v>28</v>
      </c>
      <c r="D76" s="10">
        <v>167.27</v>
      </c>
      <c r="E76" s="10">
        <v>175.77</v>
      </c>
      <c r="F76" s="10">
        <v>15.19</v>
      </c>
      <c r="G76" s="22">
        <f t="shared" si="5"/>
        <v>23.584949999999996</v>
      </c>
      <c r="H76" s="21" t="s">
        <v>11</v>
      </c>
      <c r="I76" s="9"/>
      <c r="K76" s="7">
        <f t="shared" ref="K76:K77" si="6">D76+8.5</f>
        <v>175.77</v>
      </c>
      <c r="L76" s="7">
        <f t="shared" si="4"/>
        <v>175.77</v>
      </c>
      <c r="M76" s="6"/>
    </row>
    <row r="77" spans="1:13" ht="14" x14ac:dyDescent="0.15">
      <c r="A77" s="21">
        <v>75</v>
      </c>
      <c r="B77" s="9" t="s">
        <v>92</v>
      </c>
      <c r="C77" s="9" t="s">
        <v>14</v>
      </c>
      <c r="D77" s="10">
        <v>78.64</v>
      </c>
      <c r="E77" s="10">
        <v>87.14</v>
      </c>
      <c r="F77" s="10">
        <v>17.48</v>
      </c>
      <c r="G77" s="22">
        <f t="shared" si="5"/>
        <v>23.672089999999997</v>
      </c>
      <c r="H77" s="21" t="s">
        <v>11</v>
      </c>
      <c r="I77" s="9"/>
      <c r="K77" s="7">
        <f t="shared" si="6"/>
        <v>87.14</v>
      </c>
      <c r="L77" s="7">
        <f t="shared" si="4"/>
        <v>87.14</v>
      </c>
      <c r="M77" s="6"/>
    </row>
    <row r="78" spans="1:13" ht="14" x14ac:dyDescent="0.15">
      <c r="A78" s="21">
        <v>76</v>
      </c>
      <c r="B78" s="9" t="s">
        <v>93</v>
      </c>
      <c r="C78" s="9" t="s">
        <v>10</v>
      </c>
      <c r="D78" s="10">
        <v>39.78</v>
      </c>
      <c r="E78" s="10">
        <v>39.78</v>
      </c>
      <c r="F78" s="10">
        <v>1.64</v>
      </c>
      <c r="G78" s="22">
        <f t="shared" si="5"/>
        <v>23.711869999999998</v>
      </c>
      <c r="H78" s="21" t="s">
        <v>11</v>
      </c>
      <c r="I78" s="9"/>
      <c r="K78"/>
      <c r="L78" s="7">
        <f t="shared" si="4"/>
        <v>39.78</v>
      </c>
      <c r="M78" s="6"/>
    </row>
    <row r="79" spans="1:13" ht="14" x14ac:dyDescent="0.15">
      <c r="A79" s="21">
        <v>77</v>
      </c>
      <c r="B79" s="9" t="s">
        <v>94</v>
      </c>
      <c r="C79" s="9" t="s">
        <v>10</v>
      </c>
      <c r="D79" s="10">
        <v>81.7</v>
      </c>
      <c r="E79" s="10">
        <v>81.7</v>
      </c>
      <c r="F79" s="10">
        <v>1.52</v>
      </c>
      <c r="G79" s="22">
        <f t="shared" si="5"/>
        <v>23.793569999999999</v>
      </c>
      <c r="H79" s="21" t="s">
        <v>11</v>
      </c>
      <c r="I79" s="9"/>
      <c r="K79"/>
      <c r="L79" s="7">
        <f t="shared" si="4"/>
        <v>81.7</v>
      </c>
      <c r="M79" s="6"/>
    </row>
    <row r="80" spans="1:13" ht="14" x14ac:dyDescent="0.15">
      <c r="A80" s="21">
        <v>78</v>
      </c>
      <c r="B80" s="9" t="s">
        <v>95</v>
      </c>
      <c r="C80" s="9" t="s">
        <v>14</v>
      </c>
      <c r="D80" s="10">
        <v>162.25</v>
      </c>
      <c r="E80" s="10">
        <v>170.75</v>
      </c>
      <c r="F80" s="10">
        <v>29.14</v>
      </c>
      <c r="G80" s="22">
        <f t="shared" si="5"/>
        <v>23.964320000000001</v>
      </c>
      <c r="H80" s="21" t="s">
        <v>11</v>
      </c>
      <c r="I80" s="9"/>
      <c r="K80" s="7">
        <f>D80+8.5</f>
        <v>170.75</v>
      </c>
      <c r="L80" s="7">
        <f t="shared" si="4"/>
        <v>170.75</v>
      </c>
      <c r="M80" s="6"/>
    </row>
    <row r="81" spans="1:13" ht="14" x14ac:dyDescent="0.15">
      <c r="A81" s="21">
        <v>79</v>
      </c>
      <c r="B81" s="9" t="s">
        <v>96</v>
      </c>
      <c r="C81" s="9" t="s">
        <v>16</v>
      </c>
      <c r="D81" s="10">
        <v>254.62</v>
      </c>
      <c r="E81" s="10">
        <v>254.62</v>
      </c>
      <c r="F81" s="10">
        <v>5</v>
      </c>
      <c r="G81" s="22">
        <f t="shared" si="5"/>
        <v>24.21894</v>
      </c>
      <c r="H81" s="21" t="s">
        <v>11</v>
      </c>
      <c r="I81" s="9"/>
      <c r="K81"/>
      <c r="L81" s="7">
        <f t="shared" si="4"/>
        <v>254.62</v>
      </c>
      <c r="M81" s="6"/>
    </row>
    <row r="82" spans="1:13" ht="14" x14ac:dyDescent="0.15">
      <c r="A82" s="21">
        <v>80</v>
      </c>
      <c r="B82" s="9" t="s">
        <v>97</v>
      </c>
      <c r="C82" s="9" t="s">
        <v>19</v>
      </c>
      <c r="D82" s="10">
        <v>323.26</v>
      </c>
      <c r="E82" s="10">
        <v>331.76</v>
      </c>
      <c r="F82" s="10">
        <v>38.93</v>
      </c>
      <c r="G82" s="22">
        <f t="shared" si="5"/>
        <v>24.550699999999999</v>
      </c>
      <c r="H82" s="21" t="s">
        <v>11</v>
      </c>
      <c r="I82" s="9"/>
      <c r="K82" s="7">
        <f>D82+8.5</f>
        <v>331.76</v>
      </c>
      <c r="L82" s="7">
        <f t="shared" si="4"/>
        <v>331.76</v>
      </c>
      <c r="M82" s="6"/>
    </row>
    <row r="83" spans="1:13" ht="14" x14ac:dyDescent="0.15">
      <c r="A83" s="21">
        <v>81</v>
      </c>
      <c r="B83" s="9" t="s">
        <v>98</v>
      </c>
      <c r="C83" s="9" t="s">
        <v>23</v>
      </c>
      <c r="D83" s="10">
        <v>352.86</v>
      </c>
      <c r="E83" s="10">
        <v>352.86</v>
      </c>
      <c r="F83" s="10">
        <v>0.3</v>
      </c>
      <c r="G83" s="22">
        <f t="shared" si="5"/>
        <v>24.903559999999999</v>
      </c>
      <c r="H83" s="21" t="s">
        <v>11</v>
      </c>
      <c r="I83" s="9"/>
      <c r="K83"/>
      <c r="L83" s="7">
        <f t="shared" si="4"/>
        <v>352.86</v>
      </c>
      <c r="M83" s="6"/>
    </row>
    <row r="84" spans="1:13" ht="14" x14ac:dyDescent="0.15">
      <c r="A84" s="21">
        <v>82</v>
      </c>
      <c r="B84" s="9" t="s">
        <v>99</v>
      </c>
      <c r="C84" s="9" t="s">
        <v>23</v>
      </c>
      <c r="D84" s="10">
        <v>352.86</v>
      </c>
      <c r="E84" s="10">
        <v>352.86</v>
      </c>
      <c r="F84" s="10">
        <v>0</v>
      </c>
      <c r="G84" s="22">
        <f t="shared" si="5"/>
        <v>25.256419999999999</v>
      </c>
      <c r="H84" s="21" t="s">
        <v>11</v>
      </c>
      <c r="I84" s="9"/>
      <c r="K84"/>
      <c r="L84" s="7">
        <f t="shared" si="4"/>
        <v>352.86</v>
      </c>
      <c r="M84" s="6"/>
    </row>
    <row r="85" spans="1:13" ht="14" x14ac:dyDescent="0.15">
      <c r="A85" s="21">
        <v>83</v>
      </c>
      <c r="B85" s="9" t="s">
        <v>100</v>
      </c>
      <c r="C85" s="9" t="s">
        <v>23</v>
      </c>
      <c r="D85" s="10">
        <v>281.51</v>
      </c>
      <c r="E85" s="10">
        <v>281.51</v>
      </c>
      <c r="F85" s="10">
        <v>0.56999999999999995</v>
      </c>
      <c r="G85" s="22">
        <f t="shared" si="5"/>
        <v>25.537929999999999</v>
      </c>
      <c r="H85" s="21" t="s">
        <v>11</v>
      </c>
      <c r="I85" s="9"/>
      <c r="K85"/>
      <c r="L85" s="7">
        <f t="shared" si="4"/>
        <v>281.51</v>
      </c>
      <c r="M85" s="6"/>
    </row>
    <row r="86" spans="1:13" ht="14" x14ac:dyDescent="0.15">
      <c r="A86" s="21">
        <v>84</v>
      </c>
      <c r="B86" s="9" t="s">
        <v>101</v>
      </c>
      <c r="C86" s="9" t="s">
        <v>23</v>
      </c>
      <c r="D86" s="10">
        <v>348.96</v>
      </c>
      <c r="E86" s="10">
        <v>348.96</v>
      </c>
      <c r="F86" s="10">
        <v>0.84</v>
      </c>
      <c r="G86" s="22">
        <f t="shared" si="5"/>
        <v>25.886890000000001</v>
      </c>
      <c r="H86" s="21" t="s">
        <v>11</v>
      </c>
      <c r="I86" s="9"/>
      <c r="K86"/>
      <c r="L86" s="7">
        <f t="shared" si="4"/>
        <v>348.96</v>
      </c>
      <c r="M86" s="6"/>
    </row>
    <row r="87" spans="1:13" ht="14" x14ac:dyDescent="0.15">
      <c r="A87" s="21">
        <v>85</v>
      </c>
      <c r="B87" s="9" t="s">
        <v>102</v>
      </c>
      <c r="C87" s="9" t="s">
        <v>23</v>
      </c>
      <c r="D87" s="10">
        <v>323.57</v>
      </c>
      <c r="E87" s="10">
        <v>323.57</v>
      </c>
      <c r="F87" s="10">
        <v>0.42</v>
      </c>
      <c r="G87" s="22">
        <f t="shared" si="5"/>
        <v>26.210460000000001</v>
      </c>
      <c r="H87" s="21" t="s">
        <v>11</v>
      </c>
      <c r="I87" s="9"/>
      <c r="K87"/>
      <c r="L87" s="7">
        <f t="shared" si="4"/>
        <v>323.57</v>
      </c>
      <c r="M87" s="6"/>
    </row>
    <row r="88" spans="1:13" ht="14" x14ac:dyDescent="0.15">
      <c r="A88" s="21">
        <v>86</v>
      </c>
      <c r="B88" s="9" t="s">
        <v>103</v>
      </c>
      <c r="C88" s="9" t="s">
        <v>23</v>
      </c>
      <c r="D88" s="10">
        <v>346.25</v>
      </c>
      <c r="E88" s="10">
        <v>346.25</v>
      </c>
      <c r="F88" s="10">
        <v>0.01</v>
      </c>
      <c r="G88" s="22">
        <f t="shared" si="5"/>
        <v>26.556710000000002</v>
      </c>
      <c r="H88" s="21" t="s">
        <v>11</v>
      </c>
      <c r="I88" s="9"/>
      <c r="K88"/>
      <c r="L88" s="7">
        <f t="shared" si="4"/>
        <v>346.25</v>
      </c>
      <c r="M88" s="6"/>
    </row>
    <row r="89" spans="1:13" ht="14" x14ac:dyDescent="0.15">
      <c r="A89" s="21">
        <v>87</v>
      </c>
      <c r="B89" s="9" t="s">
        <v>104</v>
      </c>
      <c r="C89" s="9" t="s">
        <v>23</v>
      </c>
      <c r="D89" s="10">
        <v>338.86</v>
      </c>
      <c r="E89" s="10">
        <v>338.86</v>
      </c>
      <c r="F89" s="10">
        <v>0.2</v>
      </c>
      <c r="G89" s="22">
        <f t="shared" si="5"/>
        <v>26.895570000000003</v>
      </c>
      <c r="H89" s="21" t="s">
        <v>11</v>
      </c>
      <c r="I89" s="9"/>
      <c r="K89"/>
      <c r="L89" s="7">
        <f t="shared" si="4"/>
        <v>338.86</v>
      </c>
      <c r="M89" s="6"/>
    </row>
    <row r="90" spans="1:13" ht="14" x14ac:dyDescent="0.15">
      <c r="A90" s="21">
        <v>88</v>
      </c>
      <c r="B90" s="9" t="s">
        <v>105</v>
      </c>
      <c r="C90" s="9" t="s">
        <v>23</v>
      </c>
      <c r="D90" s="10">
        <v>352.46</v>
      </c>
      <c r="E90" s="10">
        <v>352.46</v>
      </c>
      <c r="F90" s="10">
        <v>0.23</v>
      </c>
      <c r="G90" s="22">
        <f t="shared" si="5"/>
        <v>27.248030000000004</v>
      </c>
      <c r="H90" s="21" t="s">
        <v>11</v>
      </c>
      <c r="I90" s="9"/>
      <c r="K90"/>
      <c r="L90" s="7">
        <f t="shared" si="4"/>
        <v>352.46</v>
      </c>
      <c r="M90" s="6"/>
    </row>
    <row r="91" spans="1:13" ht="14" x14ac:dyDescent="0.15">
      <c r="A91" s="21">
        <v>89</v>
      </c>
      <c r="B91" s="9" t="s">
        <v>106</v>
      </c>
      <c r="C91" s="9" t="s">
        <v>23</v>
      </c>
      <c r="D91" s="10">
        <v>342.21</v>
      </c>
      <c r="E91" s="10">
        <v>342.21</v>
      </c>
      <c r="F91" s="10">
        <v>0.06</v>
      </c>
      <c r="G91" s="22">
        <f t="shared" si="5"/>
        <v>27.590240000000005</v>
      </c>
      <c r="H91" s="21" t="s">
        <v>11</v>
      </c>
      <c r="I91" s="9"/>
      <c r="K91"/>
      <c r="L91" s="7">
        <f t="shared" si="4"/>
        <v>342.21</v>
      </c>
      <c r="M91" s="6"/>
    </row>
    <row r="92" spans="1:13" ht="14" x14ac:dyDescent="0.15">
      <c r="A92" s="21">
        <v>90</v>
      </c>
      <c r="B92" s="9" t="s">
        <v>107</v>
      </c>
      <c r="C92" s="9" t="s">
        <v>23</v>
      </c>
      <c r="D92" s="10">
        <v>333.3</v>
      </c>
      <c r="E92" s="10">
        <v>333.3</v>
      </c>
      <c r="F92" s="10">
        <v>0.42</v>
      </c>
      <c r="G92" s="22">
        <f t="shared" si="5"/>
        <v>27.923540000000006</v>
      </c>
      <c r="H92" s="21" t="s">
        <v>11</v>
      </c>
      <c r="I92" s="9"/>
      <c r="K92"/>
      <c r="L92" s="7">
        <f t="shared" si="4"/>
        <v>333.3</v>
      </c>
      <c r="M92" s="6"/>
    </row>
    <row r="93" spans="1:13" ht="14" x14ac:dyDescent="0.15">
      <c r="A93" s="21">
        <v>91</v>
      </c>
      <c r="B93" s="9" t="s">
        <v>108</v>
      </c>
      <c r="C93" s="9" t="s">
        <v>16</v>
      </c>
      <c r="D93" s="10">
        <v>295.44</v>
      </c>
      <c r="E93" s="10">
        <v>295.44</v>
      </c>
      <c r="F93" s="10">
        <v>4.45</v>
      </c>
      <c r="G93" s="22">
        <f t="shared" si="5"/>
        <v>28.218980000000006</v>
      </c>
      <c r="H93" s="21" t="s">
        <v>11</v>
      </c>
      <c r="I93" s="9"/>
      <c r="K93"/>
      <c r="L93" s="7">
        <f t="shared" si="4"/>
        <v>295.44</v>
      </c>
      <c r="M93" s="6"/>
    </row>
    <row r="94" spans="1:13" ht="14" x14ac:dyDescent="0.15">
      <c r="A94" s="21">
        <v>92</v>
      </c>
      <c r="B94" s="9" t="s">
        <v>109</v>
      </c>
      <c r="C94" s="9" t="s">
        <v>23</v>
      </c>
      <c r="D94" s="10">
        <v>267.89</v>
      </c>
      <c r="E94" s="10">
        <v>267.89</v>
      </c>
      <c r="F94" s="10">
        <v>0.66</v>
      </c>
      <c r="G94" s="22">
        <f t="shared" si="5"/>
        <v>28.486870000000007</v>
      </c>
      <c r="H94" s="21" t="s">
        <v>11</v>
      </c>
      <c r="I94" s="9"/>
      <c r="K94"/>
      <c r="L94" s="7">
        <f t="shared" si="4"/>
        <v>267.89</v>
      </c>
      <c r="M94" s="6"/>
    </row>
    <row r="95" spans="1:13" ht="14" x14ac:dyDescent="0.15">
      <c r="A95" s="21">
        <v>93</v>
      </c>
      <c r="B95" s="9" t="s">
        <v>110</v>
      </c>
      <c r="C95" s="9" t="s">
        <v>28</v>
      </c>
      <c r="D95" s="10">
        <v>350.27</v>
      </c>
      <c r="E95" s="10">
        <v>358.77</v>
      </c>
      <c r="F95" s="10">
        <v>22.14</v>
      </c>
      <c r="G95" s="22">
        <f t="shared" si="5"/>
        <v>28.845640000000007</v>
      </c>
      <c r="H95" s="21" t="s">
        <v>11</v>
      </c>
      <c r="I95" s="9"/>
      <c r="K95" s="7">
        <f>D95+8.5</f>
        <v>358.77</v>
      </c>
      <c r="L95" s="7">
        <f t="shared" si="4"/>
        <v>358.77</v>
      </c>
      <c r="M95" s="6"/>
    </row>
    <row r="96" spans="1:13" ht="14" x14ac:dyDescent="0.15">
      <c r="A96" s="21">
        <v>94</v>
      </c>
      <c r="B96" s="9" t="s">
        <v>111</v>
      </c>
      <c r="C96" s="9" t="s">
        <v>23</v>
      </c>
      <c r="D96" s="10">
        <v>347.65</v>
      </c>
      <c r="E96" s="10">
        <v>347.65</v>
      </c>
      <c r="F96" s="10">
        <v>0.68</v>
      </c>
      <c r="G96" s="22">
        <f t="shared" si="5"/>
        <v>29.193290000000008</v>
      </c>
      <c r="H96" s="21" t="s">
        <v>11</v>
      </c>
      <c r="I96" s="9"/>
      <c r="K96"/>
      <c r="L96" s="7">
        <f t="shared" si="4"/>
        <v>347.65</v>
      </c>
      <c r="M96" s="6"/>
    </row>
    <row r="97" spans="1:13" ht="14" x14ac:dyDescent="0.15">
      <c r="A97" s="21">
        <v>95</v>
      </c>
      <c r="B97" s="9" t="s">
        <v>112</v>
      </c>
      <c r="C97" s="9" t="s">
        <v>23</v>
      </c>
      <c r="D97" s="10">
        <v>349.11</v>
      </c>
      <c r="E97" s="10">
        <v>349.11</v>
      </c>
      <c r="F97" s="10">
        <v>0.52</v>
      </c>
      <c r="G97" s="22">
        <f t="shared" si="5"/>
        <v>29.542400000000008</v>
      </c>
      <c r="H97" s="21" t="s">
        <v>11</v>
      </c>
      <c r="I97" s="9"/>
      <c r="K97"/>
      <c r="L97" s="7">
        <f t="shared" si="4"/>
        <v>349.11</v>
      </c>
      <c r="M97" s="6"/>
    </row>
    <row r="98" spans="1:13" ht="14" x14ac:dyDescent="0.15">
      <c r="A98" s="21">
        <v>96</v>
      </c>
      <c r="B98" s="9" t="s">
        <v>113</v>
      </c>
      <c r="C98" s="9" t="s">
        <v>23</v>
      </c>
      <c r="D98" s="10">
        <v>344.06</v>
      </c>
      <c r="E98" s="10">
        <v>344.06</v>
      </c>
      <c r="F98" s="10">
        <v>0.12</v>
      </c>
      <c r="G98" s="22">
        <f t="shared" si="5"/>
        <v>29.886460000000007</v>
      </c>
      <c r="H98" s="21" t="s">
        <v>11</v>
      </c>
      <c r="I98" s="9"/>
      <c r="K98"/>
      <c r="L98" s="7">
        <f t="shared" si="4"/>
        <v>344.06</v>
      </c>
      <c r="M98" s="6"/>
    </row>
    <row r="99" spans="1:13" ht="14" x14ac:dyDescent="0.15">
      <c r="A99" s="21">
        <v>97</v>
      </c>
      <c r="B99" s="9" t="s">
        <v>114</v>
      </c>
      <c r="C99" s="9" t="s">
        <v>23</v>
      </c>
      <c r="D99" s="10">
        <v>359.36</v>
      </c>
      <c r="E99" s="10">
        <v>359.36</v>
      </c>
      <c r="F99" s="10">
        <v>0.17</v>
      </c>
      <c r="G99" s="22">
        <f t="shared" si="5"/>
        <v>30.245820000000005</v>
      </c>
      <c r="H99" s="21" t="s">
        <v>11</v>
      </c>
      <c r="I99" s="9"/>
      <c r="K99"/>
      <c r="L99" s="7">
        <f t="shared" si="4"/>
        <v>359.36</v>
      </c>
      <c r="M99" s="6"/>
    </row>
    <row r="100" spans="1:13" ht="14" x14ac:dyDescent="0.15">
      <c r="A100" s="21">
        <v>98</v>
      </c>
      <c r="B100" s="9" t="s">
        <v>115</v>
      </c>
      <c r="C100" s="9" t="s">
        <v>23</v>
      </c>
      <c r="D100" s="10">
        <v>355.88</v>
      </c>
      <c r="E100" s="10">
        <v>355.88</v>
      </c>
      <c r="F100" s="10">
        <v>0.46</v>
      </c>
      <c r="G100" s="22">
        <f t="shared" si="5"/>
        <v>30.601700000000005</v>
      </c>
      <c r="H100" s="21" t="s">
        <v>11</v>
      </c>
      <c r="I100" s="9"/>
      <c r="K100"/>
      <c r="L100" s="7">
        <f t="shared" si="4"/>
        <v>355.88</v>
      </c>
      <c r="M100" s="6"/>
    </row>
    <row r="101" spans="1:13" ht="14" x14ac:dyDescent="0.15">
      <c r="A101" s="21">
        <v>99</v>
      </c>
      <c r="B101" s="9" t="s">
        <v>116</v>
      </c>
      <c r="C101" s="9" t="s">
        <v>23</v>
      </c>
      <c r="D101" s="10">
        <v>349.27</v>
      </c>
      <c r="E101" s="10">
        <v>349.27</v>
      </c>
      <c r="F101" s="10">
        <v>0.7</v>
      </c>
      <c r="G101" s="22">
        <f t="shared" si="5"/>
        <v>30.950970000000005</v>
      </c>
      <c r="H101" s="21" t="s">
        <v>11</v>
      </c>
      <c r="I101" s="9"/>
      <c r="K101"/>
      <c r="L101" s="7">
        <f t="shared" si="4"/>
        <v>349.27</v>
      </c>
      <c r="M101" s="6"/>
    </row>
    <row r="102" spans="1:13" ht="14" x14ac:dyDescent="0.15">
      <c r="A102" s="21">
        <v>100</v>
      </c>
      <c r="B102" s="9" t="s">
        <v>117</v>
      </c>
      <c r="C102" s="9" t="s">
        <v>23</v>
      </c>
      <c r="D102" s="10">
        <v>350.44</v>
      </c>
      <c r="E102" s="10">
        <v>350.44</v>
      </c>
      <c r="F102" s="10">
        <v>0.16</v>
      </c>
      <c r="G102" s="22">
        <f t="shared" si="5"/>
        <v>31.301410000000004</v>
      </c>
      <c r="H102" s="21" t="s">
        <v>11</v>
      </c>
      <c r="I102" s="9"/>
      <c r="K102"/>
      <c r="L102" s="7">
        <f t="shared" si="4"/>
        <v>350.44</v>
      </c>
      <c r="M102" s="6"/>
    </row>
    <row r="103" spans="1:13" ht="56" x14ac:dyDescent="0.15">
      <c r="A103" s="22">
        <v>101</v>
      </c>
      <c r="B103" s="9" t="s">
        <v>118</v>
      </c>
      <c r="C103" s="9" t="s">
        <v>28</v>
      </c>
      <c r="D103" s="10">
        <v>314.12</v>
      </c>
      <c r="E103" s="10">
        <v>322.62</v>
      </c>
      <c r="F103" s="10">
        <v>23.79</v>
      </c>
      <c r="G103" s="22">
        <f t="shared" si="5"/>
        <v>31.624030000000005</v>
      </c>
      <c r="H103" s="22" t="s">
        <v>119</v>
      </c>
      <c r="I103" s="22" t="s">
        <v>120</v>
      </c>
      <c r="K103" s="7">
        <f>D103+8.5</f>
        <v>322.62</v>
      </c>
      <c r="L103" s="7">
        <f t="shared" si="4"/>
        <v>322.62</v>
      </c>
      <c r="M103" s="6"/>
    </row>
    <row r="104" spans="1:13" ht="14" x14ac:dyDescent="0.15">
      <c r="A104" s="21">
        <v>102</v>
      </c>
      <c r="B104" s="9" t="s">
        <v>121</v>
      </c>
      <c r="C104" s="9" t="s">
        <v>23</v>
      </c>
      <c r="D104" s="10">
        <v>332.01</v>
      </c>
      <c r="E104" s="10">
        <v>332.01</v>
      </c>
      <c r="F104" s="10">
        <v>0.05</v>
      </c>
      <c r="G104" s="22">
        <f t="shared" si="5"/>
        <v>31.956040000000005</v>
      </c>
      <c r="H104" s="21" t="s">
        <v>119</v>
      </c>
      <c r="I104" s="9"/>
      <c r="K104"/>
      <c r="L104" s="7">
        <f t="shared" si="4"/>
        <v>332.01</v>
      </c>
      <c r="M104" s="6"/>
    </row>
    <row r="105" spans="1:13" ht="14" x14ac:dyDescent="0.15">
      <c r="A105" s="21">
        <v>103</v>
      </c>
      <c r="B105" s="9" t="s">
        <v>122</v>
      </c>
      <c r="C105" s="9" t="s">
        <v>23</v>
      </c>
      <c r="D105" s="10">
        <v>348.92</v>
      </c>
      <c r="E105" s="10">
        <v>348.92</v>
      </c>
      <c r="F105" s="10">
        <v>0</v>
      </c>
      <c r="G105" s="22">
        <f t="shared" si="5"/>
        <v>32.304960000000008</v>
      </c>
      <c r="H105" s="21" t="s">
        <v>119</v>
      </c>
      <c r="I105" s="9"/>
      <c r="K105"/>
      <c r="L105" s="7">
        <f t="shared" si="4"/>
        <v>348.92</v>
      </c>
      <c r="M105" s="6"/>
    </row>
    <row r="106" spans="1:13" ht="14" x14ac:dyDescent="0.15">
      <c r="A106" s="21">
        <v>104</v>
      </c>
      <c r="B106" s="9" t="s">
        <v>123</v>
      </c>
      <c r="C106" s="9" t="s">
        <v>23</v>
      </c>
      <c r="D106" s="10">
        <v>355.94</v>
      </c>
      <c r="E106" s="10">
        <v>355.94</v>
      </c>
      <c r="F106" s="10">
        <v>0.87</v>
      </c>
      <c r="G106" s="22">
        <f t="shared" si="5"/>
        <v>32.660900000000005</v>
      </c>
      <c r="H106" s="21" t="s">
        <v>119</v>
      </c>
      <c r="I106" s="9"/>
      <c r="K106"/>
      <c r="L106" s="7">
        <f t="shared" si="4"/>
        <v>355.94</v>
      </c>
      <c r="M106" s="6"/>
    </row>
    <row r="107" spans="1:13" ht="14" x14ac:dyDescent="0.15">
      <c r="A107" s="21">
        <v>105</v>
      </c>
      <c r="B107" s="9" t="s">
        <v>124</v>
      </c>
      <c r="C107" s="9" t="s">
        <v>23</v>
      </c>
      <c r="D107" s="10">
        <v>357.59</v>
      </c>
      <c r="E107" s="10">
        <v>357.59</v>
      </c>
      <c r="F107" s="10">
        <v>1.59</v>
      </c>
      <c r="G107" s="22">
        <f t="shared" si="5"/>
        <v>33.018490000000007</v>
      </c>
      <c r="H107" s="21" t="s">
        <v>119</v>
      </c>
      <c r="I107" s="9"/>
      <c r="K107"/>
      <c r="L107" s="7">
        <f t="shared" si="4"/>
        <v>357.59</v>
      </c>
      <c r="M107" s="6"/>
    </row>
    <row r="108" spans="1:13" ht="14" x14ac:dyDescent="0.15">
      <c r="A108" s="21">
        <v>106</v>
      </c>
      <c r="B108" s="9" t="s">
        <v>125</v>
      </c>
      <c r="C108" s="9" t="s">
        <v>23</v>
      </c>
      <c r="D108" s="10">
        <v>333.28</v>
      </c>
      <c r="E108" s="10">
        <v>333.28</v>
      </c>
      <c r="F108" s="10">
        <v>0.59</v>
      </c>
      <c r="G108" s="22">
        <f t="shared" si="5"/>
        <v>33.351770000000009</v>
      </c>
      <c r="H108" s="21" t="s">
        <v>119</v>
      </c>
      <c r="I108" s="9"/>
      <c r="K108"/>
      <c r="L108" s="7">
        <f t="shared" si="4"/>
        <v>333.28</v>
      </c>
      <c r="M108" s="6"/>
    </row>
    <row r="109" spans="1:13" ht="14" x14ac:dyDescent="0.15">
      <c r="A109" s="21">
        <v>107</v>
      </c>
      <c r="B109" s="9" t="s">
        <v>126</v>
      </c>
      <c r="C109" s="9" t="s">
        <v>23</v>
      </c>
      <c r="D109" s="10">
        <v>343.11</v>
      </c>
      <c r="E109" s="10">
        <v>343.11</v>
      </c>
      <c r="F109" s="10">
        <v>0.45</v>
      </c>
      <c r="G109" s="22">
        <f t="shared" si="5"/>
        <v>33.694880000000012</v>
      </c>
      <c r="H109" s="21" t="s">
        <v>119</v>
      </c>
      <c r="I109" s="9"/>
      <c r="K109"/>
      <c r="L109" s="7">
        <f t="shared" si="4"/>
        <v>343.11</v>
      </c>
      <c r="M109" s="6"/>
    </row>
    <row r="110" spans="1:13" ht="14" x14ac:dyDescent="0.15">
      <c r="A110" s="21">
        <v>108</v>
      </c>
      <c r="B110" s="9" t="s">
        <v>127</v>
      </c>
      <c r="C110" s="9" t="s">
        <v>23</v>
      </c>
      <c r="D110" s="10">
        <v>354.52</v>
      </c>
      <c r="E110" s="10">
        <v>354.52</v>
      </c>
      <c r="F110" s="10">
        <v>0.12</v>
      </c>
      <c r="G110" s="22">
        <f t="shared" si="5"/>
        <v>34.049400000000013</v>
      </c>
      <c r="H110" s="21" t="s">
        <v>119</v>
      </c>
      <c r="I110" s="9"/>
      <c r="K110"/>
      <c r="L110" s="7">
        <f t="shared" si="4"/>
        <v>354.52</v>
      </c>
      <c r="M110" s="6"/>
    </row>
    <row r="111" spans="1:13" ht="14" x14ac:dyDescent="0.15">
      <c r="A111" s="21">
        <v>109</v>
      </c>
      <c r="B111" s="9" t="s">
        <v>128</v>
      </c>
      <c r="C111" s="9" t="s">
        <v>23</v>
      </c>
      <c r="D111" s="10">
        <v>341.65</v>
      </c>
      <c r="E111" s="10">
        <v>341.65</v>
      </c>
      <c r="F111" s="10">
        <v>1.1599999999999999</v>
      </c>
      <c r="G111" s="22">
        <f t="shared" si="5"/>
        <v>34.391050000000014</v>
      </c>
      <c r="H111" s="21" t="s">
        <v>119</v>
      </c>
      <c r="I111" s="9"/>
      <c r="K111"/>
      <c r="L111" s="7">
        <f t="shared" si="4"/>
        <v>341.65</v>
      </c>
      <c r="M111" s="6"/>
    </row>
    <row r="112" spans="1:13" ht="14" x14ac:dyDescent="0.15">
      <c r="A112" s="21">
        <v>110</v>
      </c>
      <c r="B112" s="9" t="s">
        <v>129</v>
      </c>
      <c r="C112" s="9" t="s">
        <v>28</v>
      </c>
      <c r="D112" s="10">
        <v>333.82</v>
      </c>
      <c r="E112" s="10">
        <v>342.32</v>
      </c>
      <c r="F112" s="10">
        <v>25.45</v>
      </c>
      <c r="G112" s="22">
        <f t="shared" si="5"/>
        <v>34.733370000000015</v>
      </c>
      <c r="H112" s="21" t="s">
        <v>119</v>
      </c>
      <c r="I112" s="9"/>
      <c r="K112" s="7">
        <f>D112+8.5</f>
        <v>342.32</v>
      </c>
      <c r="L112" s="7">
        <f t="shared" si="4"/>
        <v>342.32</v>
      </c>
      <c r="M112" s="6"/>
    </row>
    <row r="113" spans="1:13" ht="14" x14ac:dyDescent="0.15">
      <c r="A113" s="21">
        <v>111</v>
      </c>
      <c r="B113" s="9" t="s">
        <v>130</v>
      </c>
      <c r="C113" s="9" t="s">
        <v>23</v>
      </c>
      <c r="D113" s="10">
        <v>350.59</v>
      </c>
      <c r="E113" s="10">
        <v>350.59</v>
      </c>
      <c r="F113" s="10">
        <v>0.82</v>
      </c>
      <c r="G113" s="22">
        <f t="shared" si="5"/>
        <v>35.083960000000012</v>
      </c>
      <c r="H113" s="21" t="s">
        <v>119</v>
      </c>
      <c r="I113" s="9"/>
      <c r="K113"/>
      <c r="L113" s="7">
        <f t="shared" si="4"/>
        <v>350.59</v>
      </c>
      <c r="M113" s="6"/>
    </row>
    <row r="114" spans="1:13" ht="14" x14ac:dyDescent="0.15">
      <c r="A114" s="21">
        <v>112</v>
      </c>
      <c r="B114" s="9" t="s">
        <v>131</v>
      </c>
      <c r="C114" s="9" t="s">
        <v>23</v>
      </c>
      <c r="D114" s="10">
        <v>350.27</v>
      </c>
      <c r="E114" s="10">
        <v>350.27</v>
      </c>
      <c r="F114" s="10">
        <v>0.36</v>
      </c>
      <c r="G114" s="22">
        <f t="shared" si="5"/>
        <v>35.434230000000014</v>
      </c>
      <c r="H114" s="21" t="s">
        <v>119</v>
      </c>
      <c r="I114" s="9"/>
      <c r="K114"/>
      <c r="L114" s="7">
        <f t="shared" si="4"/>
        <v>350.27</v>
      </c>
      <c r="M114" s="6"/>
    </row>
    <row r="115" spans="1:13" ht="14" x14ac:dyDescent="0.15">
      <c r="A115" s="21">
        <v>113</v>
      </c>
      <c r="B115" s="9" t="s">
        <v>132</v>
      </c>
      <c r="C115" s="9" t="s">
        <v>23</v>
      </c>
      <c r="D115" s="10">
        <v>350.76</v>
      </c>
      <c r="E115" s="10">
        <v>350.76</v>
      </c>
      <c r="F115" s="10">
        <v>0.54</v>
      </c>
      <c r="G115" s="22">
        <f t="shared" si="5"/>
        <v>35.784990000000015</v>
      </c>
      <c r="H115" s="21" t="s">
        <v>119</v>
      </c>
      <c r="I115" s="9"/>
      <c r="K115"/>
      <c r="L115" s="7">
        <f t="shared" si="4"/>
        <v>350.76</v>
      </c>
      <c r="M115" s="6"/>
    </row>
    <row r="116" spans="1:13" ht="14" x14ac:dyDescent="0.15">
      <c r="A116" s="21">
        <v>114</v>
      </c>
      <c r="B116" s="9" t="s">
        <v>133</v>
      </c>
      <c r="C116" s="9" t="s">
        <v>23</v>
      </c>
      <c r="D116" s="10">
        <v>349.59</v>
      </c>
      <c r="E116" s="10">
        <v>349.59</v>
      </c>
      <c r="F116" s="10">
        <v>0.15</v>
      </c>
      <c r="G116" s="22">
        <f t="shared" si="5"/>
        <v>36.134580000000014</v>
      </c>
      <c r="H116" s="21" t="s">
        <v>119</v>
      </c>
      <c r="I116" s="9"/>
      <c r="K116"/>
      <c r="L116" s="7">
        <f t="shared" si="4"/>
        <v>349.59</v>
      </c>
      <c r="M116" s="6"/>
    </row>
    <row r="117" spans="1:13" ht="14" x14ac:dyDescent="0.15">
      <c r="A117" s="21">
        <v>115</v>
      </c>
      <c r="B117" s="9" t="s">
        <v>134</v>
      </c>
      <c r="C117" s="9" t="s">
        <v>23</v>
      </c>
      <c r="D117" s="10">
        <v>327.25</v>
      </c>
      <c r="E117" s="10">
        <v>327.25</v>
      </c>
      <c r="F117" s="10">
        <v>0.39</v>
      </c>
      <c r="G117" s="22">
        <f t="shared" si="5"/>
        <v>36.461830000000013</v>
      </c>
      <c r="H117" s="21" t="s">
        <v>119</v>
      </c>
      <c r="I117" s="9"/>
      <c r="K117"/>
      <c r="L117" s="7">
        <f t="shared" si="4"/>
        <v>327.25</v>
      </c>
      <c r="M117" s="6"/>
    </row>
    <row r="118" spans="1:13" ht="14" x14ac:dyDescent="0.15">
      <c r="A118" s="21">
        <v>116</v>
      </c>
      <c r="B118" s="9" t="s">
        <v>135</v>
      </c>
      <c r="C118" s="9" t="s">
        <v>23</v>
      </c>
      <c r="D118" s="10">
        <v>347.24</v>
      </c>
      <c r="E118" s="10">
        <v>347.24</v>
      </c>
      <c r="F118" s="10">
        <v>0.71</v>
      </c>
      <c r="G118" s="22">
        <f t="shared" si="5"/>
        <v>36.809070000000013</v>
      </c>
      <c r="H118" s="21" t="s">
        <v>119</v>
      </c>
      <c r="I118" s="9"/>
      <c r="K118"/>
      <c r="L118" s="7">
        <f t="shared" si="4"/>
        <v>347.24</v>
      </c>
      <c r="M118" s="6"/>
    </row>
    <row r="119" spans="1:13" ht="14" x14ac:dyDescent="0.15">
      <c r="A119" s="21">
        <v>117</v>
      </c>
      <c r="B119" s="9" t="s">
        <v>136</v>
      </c>
      <c r="C119" s="9" t="s">
        <v>23</v>
      </c>
      <c r="D119" s="10">
        <v>348.58</v>
      </c>
      <c r="E119" s="10">
        <v>348.58</v>
      </c>
      <c r="F119" s="10">
        <v>0.34</v>
      </c>
      <c r="G119" s="22">
        <f t="shared" si="5"/>
        <v>37.157650000000011</v>
      </c>
      <c r="H119" s="21" t="s">
        <v>119</v>
      </c>
      <c r="I119" s="9"/>
      <c r="K119"/>
      <c r="L119" s="7">
        <f t="shared" si="4"/>
        <v>348.58</v>
      </c>
      <c r="M119" s="6"/>
    </row>
    <row r="120" spans="1:13" ht="14" x14ac:dyDescent="0.15">
      <c r="A120" s="21">
        <v>118</v>
      </c>
      <c r="B120" s="9" t="s">
        <v>137</v>
      </c>
      <c r="C120" s="9" t="s">
        <v>23</v>
      </c>
      <c r="D120" s="10">
        <v>349.27</v>
      </c>
      <c r="E120" s="10">
        <v>349.27</v>
      </c>
      <c r="F120" s="10">
        <v>0.39</v>
      </c>
      <c r="G120" s="22">
        <f t="shared" si="5"/>
        <v>37.506920000000008</v>
      </c>
      <c r="H120" s="21" t="s">
        <v>119</v>
      </c>
      <c r="I120" s="9"/>
      <c r="K120"/>
      <c r="L120" s="7">
        <f t="shared" si="4"/>
        <v>349.27</v>
      </c>
      <c r="M120" s="6"/>
    </row>
    <row r="121" spans="1:13" ht="14" x14ac:dyDescent="0.15">
      <c r="A121" s="21">
        <v>119</v>
      </c>
      <c r="B121" s="9" t="s">
        <v>138</v>
      </c>
      <c r="C121" s="9" t="s">
        <v>23</v>
      </c>
      <c r="D121" s="10">
        <v>346.57</v>
      </c>
      <c r="E121" s="10">
        <v>346.57</v>
      </c>
      <c r="F121" s="10">
        <v>0.44</v>
      </c>
      <c r="G121" s="22">
        <f t="shared" si="5"/>
        <v>37.853490000000008</v>
      </c>
      <c r="H121" s="21" t="s">
        <v>119</v>
      </c>
      <c r="I121" s="9"/>
      <c r="K121"/>
      <c r="L121" s="7">
        <f t="shared" si="4"/>
        <v>346.57</v>
      </c>
      <c r="M121" s="6"/>
    </row>
    <row r="122" spans="1:13" ht="14" x14ac:dyDescent="0.15">
      <c r="A122" s="21">
        <v>120</v>
      </c>
      <c r="B122" s="9" t="s">
        <v>139</v>
      </c>
      <c r="C122" s="9" t="s">
        <v>23</v>
      </c>
      <c r="D122" s="10">
        <v>322.55</v>
      </c>
      <c r="E122" s="10">
        <v>322.55</v>
      </c>
      <c r="F122" s="10">
        <v>0.35</v>
      </c>
      <c r="G122" s="22">
        <f t="shared" si="5"/>
        <v>38.176040000000008</v>
      </c>
      <c r="H122" s="21" t="s">
        <v>119</v>
      </c>
      <c r="I122" s="9"/>
      <c r="K122"/>
      <c r="L122" s="7">
        <f t="shared" si="4"/>
        <v>322.55</v>
      </c>
      <c r="M122" s="6"/>
    </row>
    <row r="123" spans="1:13" ht="14" x14ac:dyDescent="0.15">
      <c r="A123" s="21">
        <v>121</v>
      </c>
      <c r="B123" s="9" t="s">
        <v>140</v>
      </c>
      <c r="C123" s="9" t="s">
        <v>16</v>
      </c>
      <c r="D123" s="10">
        <v>321.47000000000003</v>
      </c>
      <c r="E123" s="10">
        <v>321.47000000000003</v>
      </c>
      <c r="F123" s="10">
        <v>5.95</v>
      </c>
      <c r="G123" s="22">
        <f t="shared" si="5"/>
        <v>38.497510000000005</v>
      </c>
      <c r="H123" s="21" t="s">
        <v>119</v>
      </c>
      <c r="I123" s="9"/>
      <c r="K123"/>
      <c r="L123" s="7">
        <f t="shared" si="4"/>
        <v>321.47000000000003</v>
      </c>
      <c r="M123" s="6"/>
    </row>
    <row r="124" spans="1:13" ht="14" x14ac:dyDescent="0.15">
      <c r="A124" s="21">
        <v>122</v>
      </c>
      <c r="B124" s="9" t="s">
        <v>141</v>
      </c>
      <c r="C124" s="9" t="s">
        <v>23</v>
      </c>
      <c r="D124" s="10">
        <v>351.16</v>
      </c>
      <c r="E124" s="10">
        <v>351.16</v>
      </c>
      <c r="F124" s="10">
        <v>0.34</v>
      </c>
      <c r="G124" s="22">
        <f t="shared" si="5"/>
        <v>38.848670000000006</v>
      </c>
      <c r="H124" s="21" t="s">
        <v>119</v>
      </c>
      <c r="I124" s="9"/>
      <c r="K124"/>
      <c r="L124" s="7">
        <f t="shared" si="4"/>
        <v>351.16</v>
      </c>
      <c r="M124" s="6"/>
    </row>
    <row r="125" spans="1:13" ht="14" x14ac:dyDescent="0.15">
      <c r="A125" s="21">
        <v>123</v>
      </c>
      <c r="B125" s="9" t="s">
        <v>142</v>
      </c>
      <c r="C125" s="9" t="s">
        <v>23</v>
      </c>
      <c r="D125" s="10">
        <v>322.49</v>
      </c>
      <c r="E125" s="10">
        <v>322.49</v>
      </c>
      <c r="F125" s="10">
        <v>0.35</v>
      </c>
      <c r="G125" s="22">
        <f t="shared" si="5"/>
        <v>39.171160000000008</v>
      </c>
      <c r="H125" s="21" t="s">
        <v>119</v>
      </c>
      <c r="I125" s="9"/>
      <c r="K125"/>
      <c r="L125" s="7">
        <f t="shared" si="4"/>
        <v>322.49</v>
      </c>
      <c r="M125" s="6"/>
    </row>
    <row r="126" spans="1:13" ht="14" x14ac:dyDescent="0.15">
      <c r="A126" s="21">
        <v>124</v>
      </c>
      <c r="B126" s="9" t="s">
        <v>143</v>
      </c>
      <c r="C126" s="9" t="s">
        <v>23</v>
      </c>
      <c r="D126" s="10">
        <v>348.01</v>
      </c>
      <c r="E126" s="10">
        <v>348.01</v>
      </c>
      <c r="F126" s="10">
        <v>0.01</v>
      </c>
      <c r="G126" s="22">
        <f t="shared" si="5"/>
        <v>39.51917000000001</v>
      </c>
      <c r="H126" s="21" t="s">
        <v>119</v>
      </c>
      <c r="I126" s="9"/>
      <c r="K126"/>
      <c r="L126" s="7">
        <f t="shared" si="4"/>
        <v>348.01</v>
      </c>
      <c r="M126" s="6"/>
    </row>
    <row r="127" spans="1:13" ht="14" x14ac:dyDescent="0.15">
      <c r="A127" s="21">
        <v>125</v>
      </c>
      <c r="B127" s="9" t="s">
        <v>144</v>
      </c>
      <c r="C127" s="9" t="s">
        <v>23</v>
      </c>
      <c r="D127" s="10">
        <v>329.67</v>
      </c>
      <c r="E127" s="10">
        <v>329.67</v>
      </c>
      <c r="F127" s="10">
        <v>0.13</v>
      </c>
      <c r="G127" s="22">
        <f t="shared" si="5"/>
        <v>39.84884000000001</v>
      </c>
      <c r="H127" s="21" t="s">
        <v>119</v>
      </c>
      <c r="I127" s="9"/>
      <c r="K127"/>
      <c r="L127" s="7">
        <f t="shared" si="4"/>
        <v>329.67</v>
      </c>
      <c r="M127" s="6"/>
    </row>
    <row r="128" spans="1:13" ht="14" x14ac:dyDescent="0.15">
      <c r="A128" s="21">
        <v>126</v>
      </c>
      <c r="B128" s="9" t="s">
        <v>145</v>
      </c>
      <c r="C128" s="9" t="s">
        <v>23</v>
      </c>
      <c r="D128" s="10">
        <v>317.39999999999998</v>
      </c>
      <c r="E128" s="10">
        <v>317.39999999999998</v>
      </c>
      <c r="F128" s="10">
        <v>0.1</v>
      </c>
      <c r="G128" s="22">
        <f t="shared" si="5"/>
        <v>40.166240000000009</v>
      </c>
      <c r="H128" s="21" t="s">
        <v>119</v>
      </c>
      <c r="I128" s="9"/>
      <c r="K128"/>
      <c r="L128" s="7">
        <f t="shared" si="4"/>
        <v>317.39999999999998</v>
      </c>
      <c r="M128" s="6"/>
    </row>
    <row r="129" spans="1:19" ht="14" x14ac:dyDescent="0.15">
      <c r="A129" s="21">
        <v>127</v>
      </c>
      <c r="B129" s="9" t="s">
        <v>146</v>
      </c>
      <c r="C129" s="9" t="s">
        <v>23</v>
      </c>
      <c r="D129" s="10">
        <v>341.89</v>
      </c>
      <c r="E129" s="10">
        <v>341.89</v>
      </c>
      <c r="F129" s="10">
        <v>0.01</v>
      </c>
      <c r="G129" s="22">
        <f t="shared" si="5"/>
        <v>40.508130000000008</v>
      </c>
      <c r="H129" s="21" t="s">
        <v>119</v>
      </c>
      <c r="I129" s="9"/>
      <c r="K129"/>
      <c r="L129" s="7">
        <f t="shared" si="4"/>
        <v>341.89</v>
      </c>
      <c r="M129" s="6"/>
    </row>
    <row r="130" spans="1:19" ht="14" x14ac:dyDescent="0.15">
      <c r="A130" s="21">
        <v>128</v>
      </c>
      <c r="B130" s="9" t="s">
        <v>147</v>
      </c>
      <c r="C130" s="9" t="s">
        <v>23</v>
      </c>
      <c r="D130" s="10">
        <v>335.56</v>
      </c>
      <c r="E130" s="10">
        <v>335.56</v>
      </c>
      <c r="F130" s="10">
        <v>1.0900000000000001</v>
      </c>
      <c r="G130" s="22">
        <f t="shared" si="5"/>
        <v>40.843690000000009</v>
      </c>
      <c r="H130" s="21" t="s">
        <v>119</v>
      </c>
      <c r="I130" s="9"/>
      <c r="K130"/>
      <c r="L130" s="7">
        <f t="shared" si="4"/>
        <v>335.56</v>
      </c>
      <c r="M130" s="6"/>
    </row>
    <row r="131" spans="1:19" ht="14" x14ac:dyDescent="0.15">
      <c r="A131" s="21">
        <v>129</v>
      </c>
      <c r="B131" s="9" t="s">
        <v>148</v>
      </c>
      <c r="C131" s="9" t="s">
        <v>28</v>
      </c>
      <c r="D131" s="10">
        <v>328.51</v>
      </c>
      <c r="E131" s="10">
        <v>337.01</v>
      </c>
      <c r="F131" s="10">
        <v>13.44</v>
      </c>
      <c r="G131" s="22">
        <f t="shared" si="5"/>
        <v>41.180700000000009</v>
      </c>
      <c r="H131" s="21" t="s">
        <v>119</v>
      </c>
      <c r="I131" s="9"/>
      <c r="K131" s="7">
        <f>D131+8.5</f>
        <v>337.01</v>
      </c>
      <c r="L131" s="7">
        <f t="shared" ref="L131:L194" si="7">IF(K131&lt;&gt;"",K131,D131)</f>
        <v>337.01</v>
      </c>
      <c r="M131" s="6"/>
      <c r="R131" s="7"/>
      <c r="S131" s="7"/>
    </row>
    <row r="132" spans="1:19" ht="14" x14ac:dyDescent="0.15">
      <c r="A132" s="21">
        <v>130</v>
      </c>
      <c r="B132" s="9" t="s">
        <v>149</v>
      </c>
      <c r="C132" s="9" t="s">
        <v>23</v>
      </c>
      <c r="D132" s="10">
        <v>349.85</v>
      </c>
      <c r="E132" s="10">
        <v>349.85</v>
      </c>
      <c r="F132" s="10">
        <v>1.1100000000000001</v>
      </c>
      <c r="G132" s="22">
        <f t="shared" ref="G132:G195" si="8">E132/1000+G131</f>
        <v>41.530550000000012</v>
      </c>
      <c r="H132" s="21" t="s">
        <v>119</v>
      </c>
      <c r="I132" s="9"/>
      <c r="K132"/>
      <c r="L132" s="7">
        <f t="shared" si="7"/>
        <v>349.85</v>
      </c>
      <c r="M132" s="6"/>
      <c r="R132" s="7"/>
      <c r="S132" s="7"/>
    </row>
    <row r="133" spans="1:19" ht="14" x14ac:dyDescent="0.15">
      <c r="A133" s="21">
        <v>131</v>
      </c>
      <c r="B133" s="9" t="s">
        <v>150</v>
      </c>
      <c r="C133" s="9" t="s">
        <v>23</v>
      </c>
      <c r="D133" s="10">
        <v>333.69</v>
      </c>
      <c r="E133" s="10">
        <v>333.69</v>
      </c>
      <c r="F133" s="10">
        <v>0.33</v>
      </c>
      <c r="G133" s="22">
        <f t="shared" si="8"/>
        <v>41.864240000000009</v>
      </c>
      <c r="H133" s="21" t="s">
        <v>119</v>
      </c>
      <c r="I133" s="9"/>
      <c r="K133"/>
      <c r="L133" s="7">
        <f t="shared" si="7"/>
        <v>333.69</v>
      </c>
      <c r="M133" s="6"/>
      <c r="R133" s="7"/>
      <c r="S133" s="7"/>
    </row>
    <row r="134" spans="1:19" ht="14" x14ac:dyDescent="0.15">
      <c r="A134" s="21">
        <v>132</v>
      </c>
      <c r="B134" s="9" t="s">
        <v>151</v>
      </c>
      <c r="C134" s="9" t="s">
        <v>23</v>
      </c>
      <c r="D134" s="10">
        <v>320.02999999999997</v>
      </c>
      <c r="E134" s="10">
        <v>320.02999999999997</v>
      </c>
      <c r="F134" s="10">
        <v>0.05</v>
      </c>
      <c r="G134" s="22">
        <f t="shared" si="8"/>
        <v>42.184270000000012</v>
      </c>
      <c r="H134" s="21" t="s">
        <v>119</v>
      </c>
      <c r="I134" s="9"/>
      <c r="K134"/>
      <c r="L134" s="7">
        <f t="shared" si="7"/>
        <v>320.02999999999997</v>
      </c>
      <c r="M134" s="6"/>
      <c r="R134" s="7"/>
      <c r="S134" s="7"/>
    </row>
    <row r="135" spans="1:19" ht="14" x14ac:dyDescent="0.15">
      <c r="A135" s="21">
        <v>133</v>
      </c>
      <c r="B135" s="9" t="s">
        <v>152</v>
      </c>
      <c r="C135" s="9" t="s">
        <v>23</v>
      </c>
      <c r="D135" s="10">
        <v>361.02</v>
      </c>
      <c r="E135" s="10">
        <v>361.02</v>
      </c>
      <c r="F135" s="10">
        <v>0.15</v>
      </c>
      <c r="G135" s="22">
        <f t="shared" si="8"/>
        <v>42.545290000000016</v>
      </c>
      <c r="H135" s="21" t="s">
        <v>119</v>
      </c>
      <c r="I135" s="9"/>
      <c r="K135"/>
      <c r="L135" s="7">
        <f t="shared" si="7"/>
        <v>361.02</v>
      </c>
      <c r="M135" s="6"/>
      <c r="R135" s="7"/>
      <c r="S135" s="7"/>
    </row>
    <row r="136" spans="1:19" ht="14" x14ac:dyDescent="0.15">
      <c r="A136" s="21">
        <v>134</v>
      </c>
      <c r="B136" s="9" t="s">
        <v>153</v>
      </c>
      <c r="C136" s="9" t="s">
        <v>23</v>
      </c>
      <c r="D136" s="10">
        <v>314.83</v>
      </c>
      <c r="E136" s="10">
        <v>314.83</v>
      </c>
      <c r="F136" s="10">
        <v>0.69</v>
      </c>
      <c r="G136" s="22">
        <f t="shared" si="8"/>
        <v>42.860120000000016</v>
      </c>
      <c r="H136" s="21" t="s">
        <v>119</v>
      </c>
      <c r="I136" s="9"/>
      <c r="K136"/>
      <c r="L136" s="7">
        <f t="shared" si="7"/>
        <v>314.83</v>
      </c>
      <c r="M136" s="6"/>
      <c r="R136" s="7"/>
      <c r="S136" s="7"/>
    </row>
    <row r="137" spans="1:19" ht="14" x14ac:dyDescent="0.15">
      <c r="A137" s="21">
        <v>135</v>
      </c>
      <c r="B137" s="9" t="s">
        <v>154</v>
      </c>
      <c r="C137" s="9" t="s">
        <v>28</v>
      </c>
      <c r="D137" s="10">
        <v>260.68</v>
      </c>
      <c r="E137" s="10">
        <v>269.18</v>
      </c>
      <c r="F137" s="10">
        <v>15.13</v>
      </c>
      <c r="G137" s="22">
        <f t="shared" si="8"/>
        <v>43.129300000000015</v>
      </c>
      <c r="H137" s="21" t="s">
        <v>119</v>
      </c>
      <c r="I137" s="9"/>
      <c r="K137" s="7">
        <f>D137+8.5</f>
        <v>269.18</v>
      </c>
      <c r="L137" s="7">
        <f t="shared" si="7"/>
        <v>269.18</v>
      </c>
      <c r="M137" s="6"/>
      <c r="R137" s="7"/>
      <c r="S137" s="7"/>
    </row>
    <row r="138" spans="1:19" ht="14" x14ac:dyDescent="0.15">
      <c r="A138" s="21">
        <v>136</v>
      </c>
      <c r="B138" s="9" t="s">
        <v>155</v>
      </c>
      <c r="C138" s="9" t="s">
        <v>23</v>
      </c>
      <c r="D138" s="10">
        <v>301.11</v>
      </c>
      <c r="E138" s="10">
        <v>301.11</v>
      </c>
      <c r="F138" s="10">
        <v>1.0900000000000001</v>
      </c>
      <c r="G138" s="22">
        <f t="shared" si="8"/>
        <v>43.430410000000016</v>
      </c>
      <c r="H138" s="21" t="s">
        <v>119</v>
      </c>
      <c r="I138" s="9"/>
      <c r="K138"/>
      <c r="L138" s="7">
        <f t="shared" si="7"/>
        <v>301.11</v>
      </c>
      <c r="M138" s="6"/>
      <c r="R138" s="7"/>
      <c r="S138" s="7"/>
    </row>
    <row r="139" spans="1:19" ht="14" x14ac:dyDescent="0.15">
      <c r="A139" s="21">
        <v>137</v>
      </c>
      <c r="B139" s="9" t="s">
        <v>156</v>
      </c>
      <c r="C139" s="9" t="s">
        <v>23</v>
      </c>
      <c r="D139" s="10">
        <v>293.82</v>
      </c>
      <c r="E139" s="10">
        <v>293.82</v>
      </c>
      <c r="F139" s="10">
        <v>0.32</v>
      </c>
      <c r="G139" s="22">
        <f t="shared" si="8"/>
        <v>43.724230000000013</v>
      </c>
      <c r="H139" s="21" t="s">
        <v>119</v>
      </c>
      <c r="I139" s="9"/>
      <c r="K139"/>
      <c r="L139" s="7">
        <f t="shared" si="7"/>
        <v>293.82</v>
      </c>
      <c r="M139" s="6"/>
      <c r="R139" s="7"/>
      <c r="S139" s="7"/>
    </row>
    <row r="140" spans="1:19" ht="14" x14ac:dyDescent="0.15">
      <c r="A140" s="21">
        <v>138</v>
      </c>
      <c r="B140" s="9" t="s">
        <v>157</v>
      </c>
      <c r="C140" s="9" t="s">
        <v>23</v>
      </c>
      <c r="D140" s="10">
        <v>265.17</v>
      </c>
      <c r="E140" s="10">
        <v>265.17</v>
      </c>
      <c r="F140" s="10">
        <v>0.56000000000000005</v>
      </c>
      <c r="G140" s="22">
        <f t="shared" si="8"/>
        <v>43.98940000000001</v>
      </c>
      <c r="H140" s="21" t="s">
        <v>119</v>
      </c>
      <c r="I140" s="9"/>
      <c r="K140"/>
      <c r="L140" s="7">
        <f t="shared" si="7"/>
        <v>265.17</v>
      </c>
      <c r="M140" s="6"/>
      <c r="R140" s="7"/>
      <c r="S140" s="7"/>
    </row>
    <row r="141" spans="1:19" ht="14" x14ac:dyDescent="0.15">
      <c r="A141" s="21">
        <v>139</v>
      </c>
      <c r="B141" s="9" t="s">
        <v>158</v>
      </c>
      <c r="C141" s="9" t="s">
        <v>19</v>
      </c>
      <c r="D141" s="10">
        <v>275.62</v>
      </c>
      <c r="E141" s="10">
        <v>284.12</v>
      </c>
      <c r="F141" s="10">
        <v>32.43</v>
      </c>
      <c r="G141" s="22">
        <f t="shared" si="8"/>
        <v>44.273520000000012</v>
      </c>
      <c r="H141" s="21" t="s">
        <v>119</v>
      </c>
      <c r="I141" s="9"/>
      <c r="K141" s="7">
        <f>D141+8.5</f>
        <v>284.12</v>
      </c>
      <c r="L141" s="7">
        <f t="shared" si="7"/>
        <v>284.12</v>
      </c>
      <c r="M141" s="6"/>
      <c r="R141" s="7"/>
      <c r="S141" s="7"/>
    </row>
    <row r="142" spans="1:19" ht="14" x14ac:dyDescent="0.15">
      <c r="A142" s="21">
        <v>140</v>
      </c>
      <c r="B142" s="9" t="s">
        <v>159</v>
      </c>
      <c r="C142" s="9" t="s">
        <v>23</v>
      </c>
      <c r="D142" s="10">
        <v>311.37</v>
      </c>
      <c r="E142" s="10">
        <v>311.37</v>
      </c>
      <c r="F142" s="10">
        <v>0.09</v>
      </c>
      <c r="G142" s="22">
        <f t="shared" si="8"/>
        <v>44.584890000000009</v>
      </c>
      <c r="H142" s="21" t="s">
        <v>119</v>
      </c>
      <c r="I142" s="9"/>
      <c r="K142"/>
      <c r="L142" s="7">
        <f t="shared" si="7"/>
        <v>311.37</v>
      </c>
      <c r="M142" s="6"/>
      <c r="R142" s="7"/>
      <c r="S142" s="7"/>
    </row>
    <row r="143" spans="1:19" ht="14" x14ac:dyDescent="0.15">
      <c r="A143" s="21">
        <v>141</v>
      </c>
      <c r="B143" s="9" t="s">
        <v>160</v>
      </c>
      <c r="C143" s="9" t="s">
        <v>23</v>
      </c>
      <c r="D143" s="10">
        <v>283.70999999999998</v>
      </c>
      <c r="E143" s="10">
        <v>283.70999999999998</v>
      </c>
      <c r="F143" s="10">
        <v>0.39</v>
      </c>
      <c r="G143" s="22">
        <f t="shared" si="8"/>
        <v>44.868600000000008</v>
      </c>
      <c r="H143" s="21" t="s">
        <v>119</v>
      </c>
      <c r="I143" s="9"/>
      <c r="K143"/>
      <c r="L143" s="7">
        <f t="shared" si="7"/>
        <v>283.70999999999998</v>
      </c>
      <c r="M143" s="6"/>
      <c r="R143" s="7"/>
      <c r="S143" s="7"/>
    </row>
    <row r="144" spans="1:19" ht="14" x14ac:dyDescent="0.15">
      <c r="A144" s="21">
        <v>142</v>
      </c>
      <c r="B144" s="9" t="s">
        <v>161</v>
      </c>
      <c r="C144" s="9" t="s">
        <v>23</v>
      </c>
      <c r="D144" s="10">
        <v>261.13</v>
      </c>
      <c r="E144" s="10">
        <v>261.13</v>
      </c>
      <c r="F144" s="10">
        <v>0.76</v>
      </c>
      <c r="G144" s="22">
        <f t="shared" si="8"/>
        <v>45.129730000000009</v>
      </c>
      <c r="H144" s="21" t="s">
        <v>119</v>
      </c>
      <c r="I144" s="9"/>
      <c r="K144"/>
      <c r="L144" s="7">
        <f t="shared" si="7"/>
        <v>261.13</v>
      </c>
      <c r="M144" s="6"/>
      <c r="R144" s="7"/>
      <c r="S144" s="7"/>
    </row>
    <row r="145" spans="1:19" ht="14" x14ac:dyDescent="0.15">
      <c r="A145" s="21">
        <v>143</v>
      </c>
      <c r="B145" s="9" t="s">
        <v>162</v>
      </c>
      <c r="C145" s="9" t="s">
        <v>16</v>
      </c>
      <c r="D145" s="10">
        <v>339.69</v>
      </c>
      <c r="E145" s="10">
        <v>339.69</v>
      </c>
      <c r="F145" s="10">
        <v>13.61</v>
      </c>
      <c r="G145" s="22">
        <f t="shared" si="8"/>
        <v>45.469420000000007</v>
      </c>
      <c r="H145" s="21" t="s">
        <v>119</v>
      </c>
      <c r="I145" s="9"/>
      <c r="K145"/>
      <c r="L145" s="7">
        <f t="shared" si="7"/>
        <v>339.69</v>
      </c>
      <c r="M145" s="6"/>
      <c r="R145" s="7"/>
      <c r="S145" s="7"/>
    </row>
    <row r="146" spans="1:19" ht="14" x14ac:dyDescent="0.15">
      <c r="A146" s="21">
        <v>144</v>
      </c>
      <c r="B146" s="9" t="s">
        <v>163</v>
      </c>
      <c r="C146" s="9" t="s">
        <v>23</v>
      </c>
      <c r="D146" s="10">
        <v>349.13</v>
      </c>
      <c r="E146" s="10">
        <v>349.13</v>
      </c>
      <c r="F146" s="10">
        <v>0.05</v>
      </c>
      <c r="G146" s="22">
        <f t="shared" si="8"/>
        <v>45.818550000000009</v>
      </c>
      <c r="H146" s="21" t="s">
        <v>119</v>
      </c>
      <c r="I146" s="9"/>
      <c r="K146"/>
      <c r="L146" s="7">
        <f t="shared" si="7"/>
        <v>349.13</v>
      </c>
      <c r="M146" s="6"/>
      <c r="R146" s="7"/>
      <c r="S146" s="7"/>
    </row>
    <row r="147" spans="1:19" ht="14" x14ac:dyDescent="0.15">
      <c r="A147" s="21">
        <v>145</v>
      </c>
      <c r="B147" s="9" t="s">
        <v>164</v>
      </c>
      <c r="C147" s="9" t="s">
        <v>23</v>
      </c>
      <c r="D147" s="10">
        <v>353.35</v>
      </c>
      <c r="E147" s="10">
        <v>353.35</v>
      </c>
      <c r="F147" s="10">
        <v>0.04</v>
      </c>
      <c r="G147" s="22">
        <f t="shared" si="8"/>
        <v>46.171900000000008</v>
      </c>
      <c r="H147" s="21" t="s">
        <v>119</v>
      </c>
      <c r="I147" s="9"/>
      <c r="K147"/>
      <c r="L147" s="7">
        <f t="shared" si="7"/>
        <v>353.35</v>
      </c>
      <c r="M147" s="6"/>
      <c r="R147" s="7"/>
      <c r="S147" s="7"/>
    </row>
    <row r="148" spans="1:19" ht="14" x14ac:dyDescent="0.15">
      <c r="A148" s="21">
        <v>146</v>
      </c>
      <c r="B148" s="9" t="s">
        <v>165</v>
      </c>
      <c r="C148" s="9" t="s">
        <v>23</v>
      </c>
      <c r="D148" s="10">
        <v>355.05</v>
      </c>
      <c r="E148" s="10">
        <v>355.05</v>
      </c>
      <c r="F148" s="10">
        <v>0.49</v>
      </c>
      <c r="G148" s="22">
        <f t="shared" si="8"/>
        <v>46.526950000000006</v>
      </c>
      <c r="H148" s="21" t="s">
        <v>119</v>
      </c>
      <c r="I148" s="9"/>
      <c r="K148"/>
      <c r="L148" s="7">
        <f t="shared" si="7"/>
        <v>355.05</v>
      </c>
      <c r="M148" s="6"/>
      <c r="R148" s="7"/>
      <c r="S148" s="7"/>
    </row>
    <row r="149" spans="1:19" ht="14" x14ac:dyDescent="0.15">
      <c r="A149" s="21">
        <v>147</v>
      </c>
      <c r="B149" s="9" t="s">
        <v>166</v>
      </c>
      <c r="C149" s="9" t="s">
        <v>23</v>
      </c>
      <c r="D149" s="10">
        <v>325.58</v>
      </c>
      <c r="E149" s="10">
        <v>325.58</v>
      </c>
      <c r="F149" s="10">
        <v>1.05</v>
      </c>
      <c r="G149" s="22">
        <f t="shared" si="8"/>
        <v>46.852530000000009</v>
      </c>
      <c r="H149" s="21" t="s">
        <v>119</v>
      </c>
      <c r="I149" s="9"/>
      <c r="K149"/>
      <c r="L149" s="7">
        <f t="shared" si="7"/>
        <v>325.58</v>
      </c>
      <c r="M149" s="6"/>
      <c r="R149" s="7"/>
      <c r="S149" s="7"/>
    </row>
    <row r="150" spans="1:19" ht="14" x14ac:dyDescent="0.15">
      <c r="A150" s="21">
        <v>148</v>
      </c>
      <c r="B150" s="9" t="s">
        <v>167</v>
      </c>
      <c r="C150" s="9" t="s">
        <v>16</v>
      </c>
      <c r="D150" s="10">
        <v>351.11</v>
      </c>
      <c r="E150" s="10">
        <v>351.11</v>
      </c>
      <c r="F150" s="10">
        <v>4.7</v>
      </c>
      <c r="G150" s="22">
        <f t="shared" si="8"/>
        <v>47.203640000000007</v>
      </c>
      <c r="H150" s="21" t="s">
        <v>119</v>
      </c>
      <c r="I150" s="9"/>
      <c r="K150"/>
      <c r="L150" s="7">
        <f t="shared" si="7"/>
        <v>351.11</v>
      </c>
      <c r="M150" s="6"/>
      <c r="R150" s="7"/>
      <c r="S150" s="7"/>
    </row>
    <row r="151" spans="1:19" ht="14" x14ac:dyDescent="0.15">
      <c r="A151" s="21">
        <v>149</v>
      </c>
      <c r="B151" s="9" t="s">
        <v>168</v>
      </c>
      <c r="C151" s="9" t="s">
        <v>23</v>
      </c>
      <c r="D151" s="10">
        <v>304.52999999999997</v>
      </c>
      <c r="E151" s="10">
        <v>304.52999999999997</v>
      </c>
      <c r="F151" s="10">
        <v>0.65</v>
      </c>
      <c r="G151" s="22">
        <f t="shared" si="8"/>
        <v>47.508170000000007</v>
      </c>
      <c r="H151" s="21" t="s">
        <v>119</v>
      </c>
      <c r="I151" s="9"/>
      <c r="K151"/>
      <c r="L151" s="7">
        <f t="shared" si="7"/>
        <v>304.52999999999997</v>
      </c>
      <c r="M151" s="6"/>
      <c r="R151" s="7"/>
      <c r="S151" s="7"/>
    </row>
    <row r="152" spans="1:19" ht="14" x14ac:dyDescent="0.15">
      <c r="A152" s="21">
        <v>150</v>
      </c>
      <c r="B152" s="9" t="s">
        <v>169</v>
      </c>
      <c r="C152" s="9" t="s">
        <v>23</v>
      </c>
      <c r="D152" s="10">
        <v>342.88</v>
      </c>
      <c r="E152" s="10">
        <v>342.88</v>
      </c>
      <c r="F152" s="10">
        <v>0.63</v>
      </c>
      <c r="G152" s="22">
        <f t="shared" si="8"/>
        <v>47.851050000000008</v>
      </c>
      <c r="H152" s="21" t="s">
        <v>119</v>
      </c>
      <c r="I152" s="9"/>
      <c r="K152"/>
      <c r="L152" s="7">
        <f t="shared" si="7"/>
        <v>342.88</v>
      </c>
      <c r="M152" s="6"/>
      <c r="R152" s="7"/>
      <c r="S152" s="7"/>
    </row>
    <row r="153" spans="1:19" ht="14" x14ac:dyDescent="0.15">
      <c r="A153" s="21">
        <v>151</v>
      </c>
      <c r="B153" s="9" t="s">
        <v>170</v>
      </c>
      <c r="C153" s="9" t="s">
        <v>23</v>
      </c>
      <c r="D153" s="10">
        <v>332.62</v>
      </c>
      <c r="E153" s="10">
        <v>332.62</v>
      </c>
      <c r="F153" s="10">
        <v>0.01</v>
      </c>
      <c r="G153" s="22">
        <f t="shared" si="8"/>
        <v>48.183670000000006</v>
      </c>
      <c r="H153" s="21" t="s">
        <v>119</v>
      </c>
      <c r="I153" s="9"/>
      <c r="K153"/>
      <c r="L153" s="7">
        <f t="shared" si="7"/>
        <v>332.62</v>
      </c>
      <c r="M153" s="6"/>
      <c r="R153" s="7"/>
      <c r="S153" s="7"/>
    </row>
    <row r="154" spans="1:19" ht="14" x14ac:dyDescent="0.15">
      <c r="A154" s="21">
        <v>152</v>
      </c>
      <c r="B154" s="9" t="s">
        <v>171</v>
      </c>
      <c r="C154" s="9" t="s">
        <v>23</v>
      </c>
      <c r="D154" s="10">
        <v>319.73</v>
      </c>
      <c r="E154" s="10">
        <v>319.73</v>
      </c>
      <c r="F154" s="10">
        <v>0.93</v>
      </c>
      <c r="G154" s="22">
        <f t="shared" si="8"/>
        <v>48.503400000000006</v>
      </c>
      <c r="H154" s="21" t="s">
        <v>119</v>
      </c>
      <c r="I154" s="9"/>
      <c r="K154"/>
      <c r="L154" s="7">
        <f t="shared" si="7"/>
        <v>319.73</v>
      </c>
      <c r="M154" s="6"/>
      <c r="R154" s="7"/>
      <c r="S154" s="7"/>
    </row>
    <row r="155" spans="1:19" ht="14" x14ac:dyDescent="0.15">
      <c r="A155" s="21">
        <v>153</v>
      </c>
      <c r="B155" s="9" t="s">
        <v>172</v>
      </c>
      <c r="C155" s="9" t="s">
        <v>23</v>
      </c>
      <c r="D155" s="10">
        <v>247.54</v>
      </c>
      <c r="E155" s="10">
        <v>247.54</v>
      </c>
      <c r="F155" s="10">
        <v>1.18</v>
      </c>
      <c r="G155" s="22">
        <f t="shared" si="8"/>
        <v>48.750940000000007</v>
      </c>
      <c r="H155" s="21" t="s">
        <v>119</v>
      </c>
      <c r="I155" s="9"/>
      <c r="K155"/>
      <c r="L155" s="7">
        <f t="shared" si="7"/>
        <v>247.54</v>
      </c>
      <c r="M155" s="6"/>
      <c r="R155" s="7"/>
      <c r="S155" s="7"/>
    </row>
    <row r="156" spans="1:19" ht="14" x14ac:dyDescent="0.15">
      <c r="A156" s="21">
        <v>154</v>
      </c>
      <c r="B156" s="9" t="s">
        <v>173</v>
      </c>
      <c r="C156" s="9" t="s">
        <v>16</v>
      </c>
      <c r="D156" s="10">
        <v>348.75</v>
      </c>
      <c r="E156" s="10">
        <v>348.75</v>
      </c>
      <c r="F156" s="10">
        <v>9.52</v>
      </c>
      <c r="G156" s="22">
        <f t="shared" si="8"/>
        <v>49.09969000000001</v>
      </c>
      <c r="H156" s="21" t="s">
        <v>119</v>
      </c>
      <c r="I156" s="9"/>
      <c r="K156"/>
      <c r="L156" s="7">
        <f t="shared" si="7"/>
        <v>348.75</v>
      </c>
      <c r="M156" s="6"/>
      <c r="R156" s="7"/>
      <c r="S156" s="7"/>
    </row>
    <row r="157" spans="1:19" ht="14" x14ac:dyDescent="0.15">
      <c r="A157" s="21">
        <v>155</v>
      </c>
      <c r="B157" s="9" t="s">
        <v>174</v>
      </c>
      <c r="C157" s="9" t="s">
        <v>23</v>
      </c>
      <c r="D157" s="10">
        <v>346.14</v>
      </c>
      <c r="E157" s="10">
        <v>346.14</v>
      </c>
      <c r="F157" s="10">
        <v>0.9</v>
      </c>
      <c r="G157" s="22">
        <f t="shared" si="8"/>
        <v>49.445830000000008</v>
      </c>
      <c r="H157" s="21" t="s">
        <v>119</v>
      </c>
      <c r="I157" s="9"/>
      <c r="K157"/>
      <c r="L157" s="7">
        <f t="shared" si="7"/>
        <v>346.14</v>
      </c>
      <c r="M157" s="6"/>
      <c r="R157" s="7"/>
      <c r="S157" s="7"/>
    </row>
    <row r="158" spans="1:19" ht="14" x14ac:dyDescent="0.15">
      <c r="A158" s="21">
        <v>156</v>
      </c>
      <c r="B158" s="9" t="s">
        <v>175</v>
      </c>
      <c r="C158" s="9" t="s">
        <v>23</v>
      </c>
      <c r="D158" s="10">
        <v>326.99</v>
      </c>
      <c r="E158" s="10">
        <v>326.99</v>
      </c>
      <c r="F158" s="10">
        <v>1.19</v>
      </c>
      <c r="G158" s="22">
        <f t="shared" si="8"/>
        <v>49.77282000000001</v>
      </c>
      <c r="H158" s="21" t="s">
        <v>119</v>
      </c>
      <c r="I158" s="9"/>
      <c r="K158"/>
      <c r="L158" s="7">
        <f t="shared" si="7"/>
        <v>326.99</v>
      </c>
      <c r="M158" s="6"/>
      <c r="R158" s="7"/>
      <c r="S158" s="7"/>
    </row>
    <row r="159" spans="1:19" ht="14" x14ac:dyDescent="0.15">
      <c r="A159" s="21">
        <v>157</v>
      </c>
      <c r="B159" s="9" t="s">
        <v>176</v>
      </c>
      <c r="C159" s="9" t="s">
        <v>23</v>
      </c>
      <c r="D159" s="10">
        <v>327.27999999999997</v>
      </c>
      <c r="E159" s="10">
        <v>327.27999999999997</v>
      </c>
      <c r="F159" s="10">
        <v>0.8</v>
      </c>
      <c r="G159" s="22">
        <f t="shared" si="8"/>
        <v>50.100100000000012</v>
      </c>
      <c r="H159" s="21" t="s">
        <v>119</v>
      </c>
      <c r="I159" s="9"/>
      <c r="K159"/>
      <c r="L159" s="7">
        <f t="shared" si="7"/>
        <v>327.27999999999997</v>
      </c>
      <c r="M159" s="6"/>
      <c r="R159" s="7"/>
      <c r="S159" s="7"/>
    </row>
    <row r="160" spans="1:19" ht="14" x14ac:dyDescent="0.15">
      <c r="A160" s="21">
        <v>158</v>
      </c>
      <c r="B160" s="9" t="s">
        <v>177</v>
      </c>
      <c r="C160" s="9" t="s">
        <v>23</v>
      </c>
      <c r="D160" s="10">
        <v>344.5</v>
      </c>
      <c r="E160" s="10">
        <v>344.5</v>
      </c>
      <c r="F160" s="10">
        <v>0.09</v>
      </c>
      <c r="G160" s="22">
        <f t="shared" si="8"/>
        <v>50.444600000000008</v>
      </c>
      <c r="H160" s="21" t="s">
        <v>119</v>
      </c>
      <c r="I160" s="9"/>
      <c r="K160"/>
      <c r="L160" s="7">
        <f t="shared" si="7"/>
        <v>344.5</v>
      </c>
      <c r="M160" s="6"/>
      <c r="R160" s="7"/>
      <c r="S160" s="7"/>
    </row>
    <row r="161" spans="1:19" ht="14" x14ac:dyDescent="0.15">
      <c r="A161" s="21">
        <v>159</v>
      </c>
      <c r="B161" s="9" t="s">
        <v>178</v>
      </c>
      <c r="C161" s="9" t="s">
        <v>23</v>
      </c>
      <c r="D161" s="10">
        <v>299.64999999999998</v>
      </c>
      <c r="E161" s="10">
        <v>299.64999999999998</v>
      </c>
      <c r="F161" s="10">
        <v>0.03</v>
      </c>
      <c r="G161" s="22">
        <f t="shared" si="8"/>
        <v>50.744250000000008</v>
      </c>
      <c r="H161" s="21" t="s">
        <v>119</v>
      </c>
      <c r="I161" s="9"/>
      <c r="K161"/>
      <c r="L161" s="7">
        <f t="shared" si="7"/>
        <v>299.64999999999998</v>
      </c>
      <c r="M161" s="6"/>
      <c r="R161" s="7"/>
      <c r="S161" s="7"/>
    </row>
    <row r="162" spans="1:19" ht="14" x14ac:dyDescent="0.15">
      <c r="A162" s="21">
        <v>160</v>
      </c>
      <c r="B162" s="9" t="s">
        <v>179</v>
      </c>
      <c r="C162" s="9" t="s">
        <v>23</v>
      </c>
      <c r="D162" s="10">
        <v>181.75</v>
      </c>
      <c r="E162" s="10">
        <v>181.75</v>
      </c>
      <c r="F162" s="10">
        <v>14.98</v>
      </c>
      <c r="G162" s="22">
        <f t="shared" si="8"/>
        <v>50.926000000000009</v>
      </c>
      <c r="H162" s="21" t="s">
        <v>119</v>
      </c>
      <c r="I162" s="9"/>
      <c r="K162"/>
      <c r="L162" s="7">
        <f t="shared" si="7"/>
        <v>181.75</v>
      </c>
      <c r="M162" s="6"/>
      <c r="R162" s="7"/>
      <c r="S162" s="7"/>
    </row>
    <row r="163" spans="1:19" ht="14" x14ac:dyDescent="0.15">
      <c r="A163" s="21">
        <v>161</v>
      </c>
      <c r="B163" s="9" t="s">
        <v>180</v>
      </c>
      <c r="C163" s="9" t="s">
        <v>19</v>
      </c>
      <c r="D163" s="10">
        <v>172.43</v>
      </c>
      <c r="E163" s="10">
        <v>180.93</v>
      </c>
      <c r="F163" s="10">
        <v>32.869999999999997</v>
      </c>
      <c r="G163" s="22">
        <f t="shared" si="8"/>
        <v>51.106930000000006</v>
      </c>
      <c r="H163" s="21" t="s">
        <v>119</v>
      </c>
      <c r="I163" s="9"/>
      <c r="K163" s="7">
        <f t="shared" ref="K163:K164" si="9">D163+8.5</f>
        <v>180.93</v>
      </c>
      <c r="L163" s="7">
        <f t="shared" si="7"/>
        <v>180.93</v>
      </c>
      <c r="M163" s="6"/>
      <c r="R163" s="7"/>
      <c r="S163" s="7"/>
    </row>
    <row r="164" spans="1:19" ht="14" x14ac:dyDescent="0.15">
      <c r="A164" s="21">
        <v>162</v>
      </c>
      <c r="B164" s="9" t="s">
        <v>181</v>
      </c>
      <c r="C164" s="9" t="s">
        <v>19</v>
      </c>
      <c r="D164" s="10">
        <v>222.43</v>
      </c>
      <c r="E164" s="10">
        <v>230.93</v>
      </c>
      <c r="F164" s="10">
        <v>57.26</v>
      </c>
      <c r="G164" s="22">
        <f t="shared" si="8"/>
        <v>51.337860000000006</v>
      </c>
      <c r="H164" s="21" t="s">
        <v>119</v>
      </c>
      <c r="I164" s="9"/>
      <c r="K164" s="7">
        <f t="shared" si="9"/>
        <v>230.93</v>
      </c>
      <c r="L164" s="7">
        <f t="shared" si="7"/>
        <v>230.93</v>
      </c>
      <c r="M164" s="6"/>
      <c r="R164" s="7"/>
      <c r="S164" s="7"/>
    </row>
    <row r="165" spans="1:19" ht="14" x14ac:dyDescent="0.15">
      <c r="A165" s="21">
        <v>163</v>
      </c>
      <c r="B165" s="9" t="s">
        <v>182</v>
      </c>
      <c r="C165" s="9" t="s">
        <v>23</v>
      </c>
      <c r="D165" s="10">
        <v>347.93</v>
      </c>
      <c r="E165" s="10">
        <v>347.93</v>
      </c>
      <c r="F165" s="10">
        <v>0.45</v>
      </c>
      <c r="G165" s="22">
        <f t="shared" si="8"/>
        <v>51.685790000000004</v>
      </c>
      <c r="H165" s="21" t="s">
        <v>119</v>
      </c>
      <c r="I165" s="9"/>
      <c r="K165"/>
      <c r="L165" s="7">
        <f t="shared" si="7"/>
        <v>347.93</v>
      </c>
      <c r="M165" s="6"/>
      <c r="R165" s="7"/>
      <c r="S165" s="7"/>
    </row>
    <row r="166" spans="1:19" ht="14" x14ac:dyDescent="0.15">
      <c r="A166" s="21">
        <v>164</v>
      </c>
      <c r="B166" s="9" t="s">
        <v>183</v>
      </c>
      <c r="C166" s="9" t="s">
        <v>23</v>
      </c>
      <c r="D166" s="10">
        <v>299.82</v>
      </c>
      <c r="E166" s="10">
        <v>299.82</v>
      </c>
      <c r="F166" s="10">
        <v>0.21</v>
      </c>
      <c r="G166" s="22">
        <f t="shared" si="8"/>
        <v>51.985610000000001</v>
      </c>
      <c r="H166" s="21" t="s">
        <v>119</v>
      </c>
      <c r="I166" s="9"/>
      <c r="K166"/>
      <c r="L166" s="7">
        <f t="shared" si="7"/>
        <v>299.82</v>
      </c>
      <c r="M166" s="6"/>
      <c r="R166" s="7"/>
      <c r="S166" s="7"/>
    </row>
    <row r="167" spans="1:19" ht="14" x14ac:dyDescent="0.15">
      <c r="A167" s="21">
        <v>165</v>
      </c>
      <c r="B167" s="9" t="s">
        <v>184</v>
      </c>
      <c r="C167" s="9" t="s">
        <v>23</v>
      </c>
      <c r="D167" s="10">
        <v>314.89</v>
      </c>
      <c r="E167" s="10">
        <v>314.89</v>
      </c>
      <c r="F167" s="10">
        <v>0.53</v>
      </c>
      <c r="G167" s="22">
        <f t="shared" si="8"/>
        <v>52.3005</v>
      </c>
      <c r="H167" s="21" t="s">
        <v>119</v>
      </c>
      <c r="I167" s="9"/>
      <c r="K167"/>
      <c r="L167" s="7">
        <f t="shared" si="7"/>
        <v>314.89</v>
      </c>
      <c r="M167" s="6"/>
      <c r="R167" s="7"/>
      <c r="S167" s="7"/>
    </row>
    <row r="168" spans="1:19" ht="14" x14ac:dyDescent="0.15">
      <c r="A168" s="21">
        <v>166</v>
      </c>
      <c r="B168" s="9" t="s">
        <v>185</v>
      </c>
      <c r="C168" s="9" t="s">
        <v>19</v>
      </c>
      <c r="D168" s="10">
        <v>342.9</v>
      </c>
      <c r="E168" s="10">
        <v>351.4</v>
      </c>
      <c r="F168" s="10">
        <v>34.15</v>
      </c>
      <c r="G168" s="22">
        <f t="shared" si="8"/>
        <v>52.651899999999998</v>
      </c>
      <c r="H168" s="21" t="s">
        <v>119</v>
      </c>
      <c r="I168" s="9"/>
      <c r="K168" s="7">
        <f>D168+8.5</f>
        <v>351.4</v>
      </c>
      <c r="L168" s="7">
        <f t="shared" si="7"/>
        <v>351.4</v>
      </c>
      <c r="M168" s="6"/>
      <c r="R168" s="7"/>
      <c r="S168" s="7"/>
    </row>
    <row r="169" spans="1:19" ht="14" x14ac:dyDescent="0.15">
      <c r="A169" s="21">
        <v>167</v>
      </c>
      <c r="B169" s="9" t="s">
        <v>186</v>
      </c>
      <c r="C169" s="9" t="s">
        <v>23</v>
      </c>
      <c r="D169" s="10">
        <v>350.39</v>
      </c>
      <c r="E169" s="10">
        <v>350.39</v>
      </c>
      <c r="F169" s="10">
        <v>0.15</v>
      </c>
      <c r="G169" s="22">
        <f t="shared" si="8"/>
        <v>53.002289999999995</v>
      </c>
      <c r="H169" s="21" t="s">
        <v>119</v>
      </c>
      <c r="I169" s="9"/>
      <c r="K169"/>
      <c r="L169" s="7">
        <f t="shared" si="7"/>
        <v>350.39</v>
      </c>
      <c r="M169" s="6"/>
      <c r="R169" s="7"/>
      <c r="S169" s="7"/>
    </row>
    <row r="170" spans="1:19" ht="14" x14ac:dyDescent="0.15">
      <c r="A170" s="21">
        <v>168</v>
      </c>
      <c r="B170" s="9" t="s">
        <v>187</v>
      </c>
      <c r="C170" s="9" t="s">
        <v>23</v>
      </c>
      <c r="D170" s="10">
        <v>304.58999999999997</v>
      </c>
      <c r="E170" s="10">
        <v>304.58999999999997</v>
      </c>
      <c r="F170" s="10">
        <v>0.33</v>
      </c>
      <c r="G170" s="22">
        <f t="shared" si="8"/>
        <v>53.306879999999992</v>
      </c>
      <c r="H170" s="21" t="s">
        <v>119</v>
      </c>
      <c r="I170" s="9"/>
      <c r="K170"/>
      <c r="L170" s="7">
        <f t="shared" si="7"/>
        <v>304.58999999999997</v>
      </c>
      <c r="M170" s="6"/>
      <c r="R170" s="7"/>
      <c r="S170" s="7"/>
    </row>
    <row r="171" spans="1:19" ht="14" x14ac:dyDescent="0.15">
      <c r="A171" s="21">
        <v>169</v>
      </c>
      <c r="B171" s="9" t="s">
        <v>188</v>
      </c>
      <c r="C171" s="9" t="s">
        <v>23</v>
      </c>
      <c r="D171" s="10">
        <v>350.39</v>
      </c>
      <c r="E171" s="10">
        <v>350.39</v>
      </c>
      <c r="F171" s="10">
        <v>0.33</v>
      </c>
      <c r="G171" s="22">
        <f t="shared" si="8"/>
        <v>53.65726999999999</v>
      </c>
      <c r="H171" s="21" t="s">
        <v>119</v>
      </c>
      <c r="I171" s="9"/>
      <c r="K171"/>
      <c r="L171" s="7">
        <f t="shared" si="7"/>
        <v>350.39</v>
      </c>
      <c r="M171" s="6"/>
      <c r="R171" s="7"/>
      <c r="S171" s="7"/>
    </row>
    <row r="172" spans="1:19" ht="14" x14ac:dyDescent="0.15">
      <c r="A172" s="21">
        <v>170</v>
      </c>
      <c r="B172" s="9" t="s">
        <v>189</v>
      </c>
      <c r="C172" s="9" t="s">
        <v>23</v>
      </c>
      <c r="D172" s="10">
        <v>340.69</v>
      </c>
      <c r="E172" s="10">
        <v>340.69</v>
      </c>
      <c r="F172" s="10">
        <v>0.33</v>
      </c>
      <c r="G172" s="22">
        <f t="shared" si="8"/>
        <v>53.997959999999992</v>
      </c>
      <c r="H172" s="21" t="s">
        <v>119</v>
      </c>
      <c r="I172" s="9"/>
      <c r="K172"/>
      <c r="L172" s="7">
        <f t="shared" si="7"/>
        <v>340.69</v>
      </c>
      <c r="M172" s="6"/>
      <c r="R172" s="7"/>
      <c r="S172" s="7"/>
    </row>
    <row r="173" spans="1:19" ht="14" x14ac:dyDescent="0.15">
      <c r="A173" s="21">
        <v>171</v>
      </c>
      <c r="B173" s="9" t="s">
        <v>190</v>
      </c>
      <c r="C173" s="9" t="s">
        <v>19</v>
      </c>
      <c r="D173" s="10">
        <v>315.70999999999998</v>
      </c>
      <c r="E173" s="10">
        <v>324.20999999999998</v>
      </c>
      <c r="F173" s="10">
        <v>50.2</v>
      </c>
      <c r="G173" s="22">
        <f t="shared" si="8"/>
        <v>54.322169999999993</v>
      </c>
      <c r="H173" s="21" t="s">
        <v>119</v>
      </c>
      <c r="I173" s="9"/>
      <c r="K173" s="7">
        <f>D173+8.5</f>
        <v>324.20999999999998</v>
      </c>
      <c r="L173" s="7">
        <f t="shared" si="7"/>
        <v>324.20999999999998</v>
      </c>
      <c r="M173" s="6"/>
      <c r="R173" s="7"/>
      <c r="S173" s="7"/>
    </row>
    <row r="174" spans="1:19" ht="14" x14ac:dyDescent="0.15">
      <c r="A174" s="21">
        <v>172</v>
      </c>
      <c r="B174" s="9" t="s">
        <v>191</v>
      </c>
      <c r="C174" s="9" t="s">
        <v>23</v>
      </c>
      <c r="D174" s="10">
        <v>346.19</v>
      </c>
      <c r="E174" s="10">
        <v>346.19</v>
      </c>
      <c r="F174" s="10">
        <v>0.42</v>
      </c>
      <c r="G174" s="22">
        <f t="shared" si="8"/>
        <v>54.668359999999993</v>
      </c>
      <c r="H174" s="21" t="s">
        <v>119</v>
      </c>
      <c r="I174" s="9"/>
      <c r="K174"/>
      <c r="L174" s="7">
        <f t="shared" si="7"/>
        <v>346.19</v>
      </c>
      <c r="M174" s="6"/>
      <c r="R174" s="7"/>
      <c r="S174" s="7"/>
    </row>
    <row r="175" spans="1:19" ht="14" x14ac:dyDescent="0.15">
      <c r="A175" s="21">
        <v>173</v>
      </c>
      <c r="B175" s="9" t="s">
        <v>192</v>
      </c>
      <c r="C175" s="9" t="s">
        <v>23</v>
      </c>
      <c r="D175" s="10">
        <v>360.43</v>
      </c>
      <c r="E175" s="10">
        <v>360.43</v>
      </c>
      <c r="F175" s="10">
        <v>0.23</v>
      </c>
      <c r="G175" s="22">
        <f t="shared" si="8"/>
        <v>55.028789999999994</v>
      </c>
      <c r="H175" s="21" t="s">
        <v>119</v>
      </c>
      <c r="I175" s="9"/>
      <c r="K175"/>
      <c r="L175" s="7">
        <f t="shared" si="7"/>
        <v>360.43</v>
      </c>
      <c r="M175" s="6"/>
      <c r="R175" s="7"/>
      <c r="S175" s="7"/>
    </row>
    <row r="176" spans="1:19" ht="14" x14ac:dyDescent="0.15">
      <c r="A176" s="21">
        <v>174</v>
      </c>
      <c r="B176" s="9" t="s">
        <v>193</v>
      </c>
      <c r="C176" s="9" t="s">
        <v>23</v>
      </c>
      <c r="D176" s="10">
        <v>355.41</v>
      </c>
      <c r="E176" s="10">
        <v>355.41</v>
      </c>
      <c r="F176" s="10">
        <v>0.14000000000000001</v>
      </c>
      <c r="G176" s="22">
        <f t="shared" si="8"/>
        <v>55.384199999999993</v>
      </c>
      <c r="H176" s="21" t="s">
        <v>119</v>
      </c>
      <c r="I176" s="9"/>
      <c r="K176"/>
      <c r="L176" s="7">
        <f t="shared" si="7"/>
        <v>355.41</v>
      </c>
      <c r="M176" s="6"/>
      <c r="R176" s="7"/>
      <c r="S176" s="7"/>
    </row>
    <row r="177" spans="1:19" ht="14" x14ac:dyDescent="0.15">
      <c r="A177" s="21">
        <v>175</v>
      </c>
      <c r="B177" s="9" t="s">
        <v>194</v>
      </c>
      <c r="C177" s="9" t="s">
        <v>23</v>
      </c>
      <c r="D177" s="10">
        <v>348.19</v>
      </c>
      <c r="E177" s="10">
        <v>348.19</v>
      </c>
      <c r="F177" s="10">
        <v>0.03</v>
      </c>
      <c r="G177" s="22">
        <f t="shared" si="8"/>
        <v>55.732389999999995</v>
      </c>
      <c r="H177" s="21" t="s">
        <v>119</v>
      </c>
      <c r="I177" s="9"/>
      <c r="K177"/>
      <c r="L177" s="7">
        <f t="shared" si="7"/>
        <v>348.19</v>
      </c>
      <c r="M177" s="6"/>
      <c r="R177" s="7"/>
      <c r="S177" s="7"/>
    </row>
    <row r="178" spans="1:19" ht="14" x14ac:dyDescent="0.15">
      <c r="A178" s="21">
        <v>176</v>
      </c>
      <c r="B178" s="9" t="s">
        <v>195</v>
      </c>
      <c r="C178" s="9" t="s">
        <v>23</v>
      </c>
      <c r="D178" s="10">
        <v>342.17</v>
      </c>
      <c r="E178" s="10">
        <v>342.17</v>
      </c>
      <c r="F178" s="10">
        <v>0.18</v>
      </c>
      <c r="G178" s="22">
        <f t="shared" si="8"/>
        <v>56.074559999999998</v>
      </c>
      <c r="H178" s="21" t="s">
        <v>119</v>
      </c>
      <c r="I178" s="9"/>
      <c r="K178"/>
      <c r="L178" s="7">
        <f t="shared" si="7"/>
        <v>342.17</v>
      </c>
      <c r="M178" s="6"/>
      <c r="R178" s="7"/>
      <c r="S178" s="7"/>
    </row>
    <row r="179" spans="1:19" ht="14" x14ac:dyDescent="0.15">
      <c r="A179" s="21">
        <v>177</v>
      </c>
      <c r="B179" s="9" t="s">
        <v>196</v>
      </c>
      <c r="C179" s="9" t="s">
        <v>28</v>
      </c>
      <c r="D179" s="10">
        <v>368.88</v>
      </c>
      <c r="E179" s="10">
        <v>377.38</v>
      </c>
      <c r="F179" s="10">
        <v>21.76</v>
      </c>
      <c r="G179" s="22">
        <f t="shared" si="8"/>
        <v>56.45194</v>
      </c>
      <c r="H179" s="21" t="s">
        <v>119</v>
      </c>
      <c r="I179" s="9"/>
      <c r="K179" s="7">
        <f>D179+8.5</f>
        <v>377.38</v>
      </c>
      <c r="L179" s="7">
        <f t="shared" si="7"/>
        <v>377.38</v>
      </c>
      <c r="M179" s="6"/>
      <c r="R179" s="7"/>
      <c r="S179" s="7"/>
    </row>
    <row r="180" spans="1:19" ht="14" x14ac:dyDescent="0.15">
      <c r="A180" s="21">
        <v>178</v>
      </c>
      <c r="B180" s="9" t="s">
        <v>197</v>
      </c>
      <c r="C180" s="9" t="s">
        <v>23</v>
      </c>
      <c r="D180" s="10">
        <v>266.51</v>
      </c>
      <c r="E180" s="10">
        <v>266.51</v>
      </c>
      <c r="F180" s="10">
        <v>0.03</v>
      </c>
      <c r="G180" s="22">
        <f t="shared" si="8"/>
        <v>56.718449999999997</v>
      </c>
      <c r="H180" s="21" t="s">
        <v>119</v>
      </c>
      <c r="I180" s="9"/>
      <c r="K180"/>
      <c r="L180" s="7">
        <f t="shared" si="7"/>
        <v>266.51</v>
      </c>
      <c r="M180" s="6"/>
      <c r="R180" s="7"/>
      <c r="S180" s="7"/>
    </row>
    <row r="181" spans="1:19" ht="14" x14ac:dyDescent="0.15">
      <c r="A181" s="21">
        <v>179</v>
      </c>
      <c r="B181" s="9" t="s">
        <v>198</v>
      </c>
      <c r="C181" s="9" t="s">
        <v>19</v>
      </c>
      <c r="D181" s="10">
        <v>344.9</v>
      </c>
      <c r="E181" s="10">
        <v>353.4</v>
      </c>
      <c r="F181" s="10">
        <v>37.270000000000003</v>
      </c>
      <c r="G181" s="22">
        <f t="shared" si="8"/>
        <v>57.071849999999998</v>
      </c>
      <c r="H181" s="21" t="s">
        <v>119</v>
      </c>
      <c r="I181" s="9"/>
      <c r="K181" s="7">
        <f>D181+8.5</f>
        <v>353.4</v>
      </c>
      <c r="L181" s="7">
        <f t="shared" si="7"/>
        <v>353.4</v>
      </c>
      <c r="M181" s="6"/>
      <c r="R181" s="7"/>
      <c r="S181" s="7"/>
    </row>
    <row r="182" spans="1:19" ht="14" x14ac:dyDescent="0.15">
      <c r="A182" s="21">
        <v>180</v>
      </c>
      <c r="B182" s="9" t="s">
        <v>199</v>
      </c>
      <c r="C182" s="9" t="s">
        <v>23</v>
      </c>
      <c r="D182" s="10">
        <v>331.16</v>
      </c>
      <c r="E182" s="10">
        <v>331.16</v>
      </c>
      <c r="F182" s="10">
        <v>0.95</v>
      </c>
      <c r="G182" s="22">
        <f t="shared" si="8"/>
        <v>57.403009999999995</v>
      </c>
      <c r="H182" s="21" t="s">
        <v>119</v>
      </c>
      <c r="I182" s="9"/>
      <c r="K182"/>
      <c r="L182" s="7">
        <f t="shared" si="7"/>
        <v>331.16</v>
      </c>
      <c r="M182" s="6"/>
      <c r="R182" s="7"/>
      <c r="S182" s="7"/>
    </row>
    <row r="183" spans="1:19" ht="14" x14ac:dyDescent="0.15">
      <c r="A183" s="21">
        <v>181</v>
      </c>
      <c r="B183" s="9" t="s">
        <v>200</v>
      </c>
      <c r="C183" s="9" t="s">
        <v>14</v>
      </c>
      <c r="D183" s="10">
        <v>155.13999999999999</v>
      </c>
      <c r="E183" s="10">
        <v>163.63999999999999</v>
      </c>
      <c r="F183" s="10">
        <v>61.5</v>
      </c>
      <c r="G183" s="22">
        <f t="shared" si="8"/>
        <v>57.566649999999996</v>
      </c>
      <c r="H183" s="21" t="s">
        <v>119</v>
      </c>
      <c r="I183" s="9"/>
      <c r="K183" s="7">
        <f t="shared" ref="K183:K184" si="10">D183+8.5</f>
        <v>163.63999999999999</v>
      </c>
      <c r="L183" s="7">
        <f t="shared" si="7"/>
        <v>163.63999999999999</v>
      </c>
      <c r="M183" s="6"/>
      <c r="R183" s="7"/>
      <c r="S183" s="7"/>
    </row>
    <row r="184" spans="1:19" ht="14" x14ac:dyDescent="0.15">
      <c r="A184" s="21">
        <v>182</v>
      </c>
      <c r="B184" s="9" t="s">
        <v>201</v>
      </c>
      <c r="C184" s="9" t="s">
        <v>19</v>
      </c>
      <c r="D184" s="10">
        <v>319.39</v>
      </c>
      <c r="E184" s="10">
        <v>327.89</v>
      </c>
      <c r="F184" s="10">
        <v>42.38</v>
      </c>
      <c r="G184" s="22">
        <f t="shared" si="8"/>
        <v>57.894539999999992</v>
      </c>
      <c r="H184" s="21" t="s">
        <v>119</v>
      </c>
      <c r="I184" s="9"/>
      <c r="K184" s="7">
        <f t="shared" si="10"/>
        <v>327.89</v>
      </c>
      <c r="L184" s="7">
        <f t="shared" si="7"/>
        <v>327.89</v>
      </c>
      <c r="M184" s="6"/>
      <c r="R184" s="7"/>
      <c r="S184" s="7"/>
    </row>
    <row r="185" spans="1:19" ht="14" x14ac:dyDescent="0.15">
      <c r="A185" s="21">
        <v>183</v>
      </c>
      <c r="B185" s="9" t="s">
        <v>202</v>
      </c>
      <c r="C185" s="9" t="s">
        <v>23</v>
      </c>
      <c r="D185" s="10">
        <v>188.19</v>
      </c>
      <c r="E185" s="10">
        <v>188.19</v>
      </c>
      <c r="F185" s="10">
        <v>2.76</v>
      </c>
      <c r="G185" s="22">
        <f t="shared" si="8"/>
        <v>58.082729999999991</v>
      </c>
      <c r="H185" s="21" t="s">
        <v>119</v>
      </c>
      <c r="I185" s="9"/>
      <c r="K185"/>
      <c r="L185" s="7">
        <f t="shared" si="7"/>
        <v>188.19</v>
      </c>
      <c r="M185" s="6"/>
      <c r="R185" s="7"/>
      <c r="S185" s="7"/>
    </row>
    <row r="186" spans="1:19" ht="14" x14ac:dyDescent="0.15">
      <c r="A186" s="21">
        <v>184</v>
      </c>
      <c r="B186" s="9" t="s">
        <v>203</v>
      </c>
      <c r="C186" s="9" t="s">
        <v>19</v>
      </c>
      <c r="D186" s="10">
        <v>89.94</v>
      </c>
      <c r="E186" s="10">
        <v>98.44</v>
      </c>
      <c r="F186" s="10">
        <v>16</v>
      </c>
      <c r="G186" s="22">
        <f t="shared" si="8"/>
        <v>58.181169999999987</v>
      </c>
      <c r="H186" s="21" t="s">
        <v>119</v>
      </c>
      <c r="I186" s="9"/>
      <c r="K186" s="7">
        <f>D186+8.5</f>
        <v>98.44</v>
      </c>
      <c r="L186" s="7">
        <f t="shared" si="7"/>
        <v>98.44</v>
      </c>
      <c r="M186" s="6"/>
      <c r="R186" s="7"/>
      <c r="S186" s="7"/>
    </row>
    <row r="187" spans="1:19" ht="14" x14ac:dyDescent="0.15">
      <c r="A187" s="21">
        <v>185</v>
      </c>
      <c r="B187" s="9" t="s">
        <v>204</v>
      </c>
      <c r="C187" s="9" t="s">
        <v>10</v>
      </c>
      <c r="D187" s="10">
        <v>51.1</v>
      </c>
      <c r="E187" s="10">
        <v>51.1</v>
      </c>
      <c r="F187" s="10">
        <v>7.8</v>
      </c>
      <c r="G187" s="22">
        <f t="shared" si="8"/>
        <v>58.232269999999986</v>
      </c>
      <c r="H187" s="21" t="s">
        <v>119</v>
      </c>
      <c r="I187" s="9"/>
      <c r="K187"/>
      <c r="L187" s="7">
        <f t="shared" si="7"/>
        <v>51.1</v>
      </c>
      <c r="M187" s="6"/>
      <c r="R187" s="7"/>
      <c r="S187" s="7"/>
    </row>
    <row r="188" spans="1:19" ht="14" x14ac:dyDescent="0.15">
      <c r="A188" s="21">
        <v>186</v>
      </c>
      <c r="B188" s="9" t="s">
        <v>205</v>
      </c>
      <c r="C188" s="9" t="s">
        <v>10</v>
      </c>
      <c r="D188" s="10">
        <v>76.86</v>
      </c>
      <c r="E188" s="10">
        <v>76.86</v>
      </c>
      <c r="F188" s="10">
        <v>1.82</v>
      </c>
      <c r="G188" s="22">
        <f t="shared" si="8"/>
        <v>58.309129999999989</v>
      </c>
      <c r="H188" s="21" t="s">
        <v>119</v>
      </c>
      <c r="I188" s="9"/>
      <c r="K188"/>
      <c r="L188" s="7">
        <f t="shared" si="7"/>
        <v>76.86</v>
      </c>
      <c r="M188" s="6"/>
      <c r="R188" s="7"/>
      <c r="S188" s="7"/>
    </row>
    <row r="189" spans="1:19" ht="14" x14ac:dyDescent="0.15">
      <c r="A189" s="21">
        <v>187</v>
      </c>
      <c r="B189" s="9" t="s">
        <v>206</v>
      </c>
      <c r="C189" s="9" t="s">
        <v>14</v>
      </c>
      <c r="D189" s="10">
        <v>228.96</v>
      </c>
      <c r="E189" s="10">
        <v>237.46</v>
      </c>
      <c r="F189" s="10">
        <v>21.76</v>
      </c>
      <c r="G189" s="22">
        <f t="shared" si="8"/>
        <v>58.546589999999988</v>
      </c>
      <c r="H189" s="21" t="s">
        <v>119</v>
      </c>
      <c r="I189" s="9"/>
      <c r="K189" s="7">
        <f>D189+8.5</f>
        <v>237.46</v>
      </c>
      <c r="L189" s="7">
        <f t="shared" si="7"/>
        <v>237.46</v>
      </c>
      <c r="M189" s="6"/>
      <c r="R189" s="7"/>
      <c r="S189" s="7"/>
    </row>
    <row r="190" spans="1:19" ht="14" x14ac:dyDescent="0.15">
      <c r="A190" s="21">
        <v>188</v>
      </c>
      <c r="B190" s="9" t="s">
        <v>207</v>
      </c>
      <c r="C190" s="9" t="s">
        <v>16</v>
      </c>
      <c r="D190" s="10">
        <v>284.83</v>
      </c>
      <c r="E190" s="10">
        <v>284.83</v>
      </c>
      <c r="F190" s="10">
        <v>5.75</v>
      </c>
      <c r="G190" s="22">
        <f t="shared" si="8"/>
        <v>58.831419999999987</v>
      </c>
      <c r="H190" s="21" t="s">
        <v>119</v>
      </c>
      <c r="I190" s="9"/>
      <c r="K190"/>
      <c r="L190" s="7">
        <f t="shared" si="7"/>
        <v>284.83</v>
      </c>
      <c r="M190" s="6"/>
      <c r="R190" s="7"/>
      <c r="S190" s="7"/>
    </row>
    <row r="191" spans="1:19" ht="14" x14ac:dyDescent="0.15">
      <c r="A191" s="21">
        <v>189</v>
      </c>
      <c r="B191" s="9" t="s">
        <v>208</v>
      </c>
      <c r="C191" s="9" t="s">
        <v>23</v>
      </c>
      <c r="D191" s="10">
        <v>362.39</v>
      </c>
      <c r="E191" s="10">
        <v>362.39</v>
      </c>
      <c r="F191" s="10">
        <v>0.1</v>
      </c>
      <c r="G191" s="22">
        <f t="shared" si="8"/>
        <v>59.193809999999985</v>
      </c>
      <c r="H191" s="21" t="s">
        <v>119</v>
      </c>
      <c r="I191" s="9"/>
      <c r="K191"/>
      <c r="L191" s="7">
        <f t="shared" si="7"/>
        <v>362.39</v>
      </c>
      <c r="M191" s="6"/>
      <c r="R191" s="7"/>
      <c r="S191" s="7"/>
    </row>
    <row r="192" spans="1:19" ht="14" x14ac:dyDescent="0.15">
      <c r="A192" s="21">
        <v>190</v>
      </c>
      <c r="B192" s="9" t="s">
        <v>209</v>
      </c>
      <c r="C192" s="9" t="s">
        <v>23</v>
      </c>
      <c r="D192" s="10">
        <v>326.64</v>
      </c>
      <c r="E192" s="10">
        <v>326.64</v>
      </c>
      <c r="F192" s="10">
        <v>0.08</v>
      </c>
      <c r="G192" s="22">
        <f t="shared" si="8"/>
        <v>59.520449999999983</v>
      </c>
      <c r="H192" s="21" t="s">
        <v>119</v>
      </c>
      <c r="I192" s="9"/>
      <c r="K192"/>
      <c r="L192" s="7">
        <f t="shared" si="7"/>
        <v>326.64</v>
      </c>
      <c r="M192" s="6"/>
      <c r="R192" s="7"/>
      <c r="S192" s="7"/>
    </row>
    <row r="193" spans="1:19" ht="14" x14ac:dyDescent="0.15">
      <c r="A193" s="21">
        <v>191</v>
      </c>
      <c r="B193" s="9" t="s">
        <v>210</v>
      </c>
      <c r="C193" s="9" t="s">
        <v>28</v>
      </c>
      <c r="D193" s="10">
        <v>314.95</v>
      </c>
      <c r="E193" s="10">
        <v>323.45</v>
      </c>
      <c r="F193" s="10">
        <v>16.87</v>
      </c>
      <c r="G193" s="22">
        <f t="shared" si="8"/>
        <v>59.843899999999984</v>
      </c>
      <c r="H193" s="21" t="s">
        <v>119</v>
      </c>
      <c r="I193" s="9"/>
      <c r="K193" s="7">
        <f>D193+8.5</f>
        <v>323.45</v>
      </c>
      <c r="L193" s="7">
        <f t="shared" si="7"/>
        <v>323.45</v>
      </c>
      <c r="M193" s="6"/>
      <c r="R193" s="7"/>
      <c r="S193" s="7"/>
    </row>
    <row r="194" spans="1:19" ht="14" x14ac:dyDescent="0.15">
      <c r="A194" s="21">
        <v>192</v>
      </c>
      <c r="B194" s="9" t="s">
        <v>211</v>
      </c>
      <c r="C194" s="9" t="s">
        <v>23</v>
      </c>
      <c r="D194" s="10">
        <v>247.2</v>
      </c>
      <c r="E194" s="10">
        <v>247.2</v>
      </c>
      <c r="F194" s="10">
        <v>0.43</v>
      </c>
      <c r="G194" s="22">
        <f t="shared" si="8"/>
        <v>60.091099999999983</v>
      </c>
      <c r="H194" s="21" t="s">
        <v>119</v>
      </c>
      <c r="I194" s="9"/>
      <c r="K194"/>
      <c r="L194" s="7">
        <f t="shared" si="7"/>
        <v>247.2</v>
      </c>
      <c r="M194" s="6"/>
      <c r="R194" s="7"/>
      <c r="S194" s="7"/>
    </row>
    <row r="195" spans="1:19" ht="14" x14ac:dyDescent="0.15">
      <c r="A195" s="21">
        <v>193</v>
      </c>
      <c r="B195" s="9" t="s">
        <v>212</v>
      </c>
      <c r="C195" s="9" t="s">
        <v>23</v>
      </c>
      <c r="D195" s="10">
        <v>226.34</v>
      </c>
      <c r="E195" s="10">
        <v>226.34</v>
      </c>
      <c r="F195" s="10">
        <v>0.25</v>
      </c>
      <c r="G195" s="22">
        <f t="shared" si="8"/>
        <v>60.317439999999984</v>
      </c>
      <c r="H195" s="21" t="s">
        <v>119</v>
      </c>
      <c r="I195" s="9"/>
      <c r="K195"/>
      <c r="L195" s="7">
        <f t="shared" ref="L195:L258" si="11">IF(K195&lt;&gt;"",K195,D195)</f>
        <v>226.34</v>
      </c>
      <c r="M195" s="6"/>
      <c r="R195" s="7"/>
      <c r="S195" s="7"/>
    </row>
    <row r="196" spans="1:19" ht="14" x14ac:dyDescent="0.15">
      <c r="A196" s="21">
        <v>194</v>
      </c>
      <c r="B196" s="9" t="s">
        <v>213</v>
      </c>
      <c r="C196" s="9" t="s">
        <v>28</v>
      </c>
      <c r="D196" s="10">
        <v>257.98</v>
      </c>
      <c r="E196" s="10">
        <v>266.48</v>
      </c>
      <c r="F196" s="10">
        <v>19.66</v>
      </c>
      <c r="G196" s="22">
        <f t="shared" ref="G196:G259" si="12">E196/1000+G195</f>
        <v>60.583919999999985</v>
      </c>
      <c r="H196" s="21" t="s">
        <v>119</v>
      </c>
      <c r="I196" s="9"/>
      <c r="K196" s="7">
        <f>D196+8.5</f>
        <v>266.48</v>
      </c>
      <c r="L196" s="7">
        <f t="shared" si="11"/>
        <v>266.48</v>
      </c>
      <c r="M196" s="6"/>
      <c r="R196" s="7"/>
      <c r="S196" s="7"/>
    </row>
    <row r="197" spans="1:19" ht="14" x14ac:dyDescent="0.15">
      <c r="A197" s="21">
        <v>195</v>
      </c>
      <c r="B197" s="9" t="s">
        <v>214</v>
      </c>
      <c r="C197" s="9" t="s">
        <v>23</v>
      </c>
      <c r="D197" s="10">
        <v>286.73</v>
      </c>
      <c r="E197" s="10">
        <v>286.73</v>
      </c>
      <c r="F197" s="10">
        <v>2.96</v>
      </c>
      <c r="G197" s="22">
        <f t="shared" si="12"/>
        <v>60.870649999999983</v>
      </c>
      <c r="H197" s="21" t="s">
        <v>119</v>
      </c>
      <c r="I197" s="9"/>
      <c r="K197"/>
      <c r="L197" s="7">
        <f t="shared" si="11"/>
        <v>286.73</v>
      </c>
      <c r="M197" s="6"/>
      <c r="R197" s="7"/>
      <c r="S197" s="7"/>
    </row>
    <row r="198" spans="1:19" ht="14" x14ac:dyDescent="0.15">
      <c r="A198" s="21">
        <v>196</v>
      </c>
      <c r="B198" s="9" t="s">
        <v>215</v>
      </c>
      <c r="C198" s="9" t="s">
        <v>23</v>
      </c>
      <c r="D198" s="10">
        <v>353.81</v>
      </c>
      <c r="E198" s="10">
        <v>353.81</v>
      </c>
      <c r="F198" s="10">
        <v>2.04</v>
      </c>
      <c r="G198" s="22">
        <f t="shared" si="12"/>
        <v>61.224459999999986</v>
      </c>
      <c r="H198" s="21" t="s">
        <v>119</v>
      </c>
      <c r="I198" s="9"/>
      <c r="K198"/>
      <c r="L198" s="7">
        <f t="shared" si="11"/>
        <v>353.81</v>
      </c>
      <c r="M198" s="6"/>
      <c r="R198" s="7"/>
      <c r="S198" s="7"/>
    </row>
    <row r="199" spans="1:19" ht="14" x14ac:dyDescent="0.15">
      <c r="A199" s="21">
        <v>197</v>
      </c>
      <c r="B199" s="9" t="s">
        <v>216</v>
      </c>
      <c r="C199" s="9" t="s">
        <v>23</v>
      </c>
      <c r="D199" s="10">
        <v>277.33999999999997</v>
      </c>
      <c r="E199" s="10">
        <v>277.33999999999997</v>
      </c>
      <c r="F199" s="10">
        <v>0.28000000000000003</v>
      </c>
      <c r="G199" s="22">
        <f t="shared" si="12"/>
        <v>61.501799999999989</v>
      </c>
      <c r="H199" s="21" t="s">
        <v>119</v>
      </c>
      <c r="I199" s="9"/>
      <c r="K199"/>
      <c r="L199" s="7">
        <f t="shared" si="11"/>
        <v>277.33999999999997</v>
      </c>
      <c r="M199" s="6"/>
      <c r="R199" s="7"/>
      <c r="S199" s="7"/>
    </row>
    <row r="200" spans="1:19" ht="14" x14ac:dyDescent="0.15">
      <c r="A200" s="21">
        <v>198</v>
      </c>
      <c r="B200" s="9" t="s">
        <v>217</v>
      </c>
      <c r="C200" s="9" t="s">
        <v>23</v>
      </c>
      <c r="D200" s="10">
        <v>247.79</v>
      </c>
      <c r="E200" s="10">
        <v>247.79</v>
      </c>
      <c r="F200" s="10">
        <v>0.31</v>
      </c>
      <c r="G200" s="22">
        <f t="shared" si="12"/>
        <v>61.749589999999991</v>
      </c>
      <c r="H200" s="21" t="s">
        <v>119</v>
      </c>
      <c r="I200" s="9"/>
      <c r="K200"/>
      <c r="L200" s="7">
        <f t="shared" si="11"/>
        <v>247.79</v>
      </c>
      <c r="M200" s="6"/>
      <c r="R200" s="7"/>
      <c r="S200" s="7"/>
    </row>
    <row r="201" spans="1:19" ht="14" x14ac:dyDescent="0.15">
      <c r="A201" s="21">
        <v>199</v>
      </c>
      <c r="B201" s="9" t="s">
        <v>218</v>
      </c>
      <c r="C201" s="9" t="s">
        <v>28</v>
      </c>
      <c r="D201" s="10">
        <v>355.91</v>
      </c>
      <c r="E201" s="10">
        <v>364.41</v>
      </c>
      <c r="F201" s="10">
        <v>25.52</v>
      </c>
      <c r="G201" s="22">
        <f t="shared" si="12"/>
        <v>62.11399999999999</v>
      </c>
      <c r="H201" s="21" t="s">
        <v>119</v>
      </c>
      <c r="I201" s="9"/>
      <c r="K201" s="7">
        <f>D201+8.5</f>
        <v>364.41</v>
      </c>
      <c r="L201" s="7">
        <f t="shared" si="11"/>
        <v>364.41</v>
      </c>
      <c r="M201" s="6"/>
      <c r="R201" s="7"/>
      <c r="S201" s="7"/>
    </row>
    <row r="202" spans="1:19" ht="14" x14ac:dyDescent="0.15">
      <c r="A202" s="21">
        <v>200</v>
      </c>
      <c r="B202" s="9" t="s">
        <v>219</v>
      </c>
      <c r="C202" s="9" t="s">
        <v>23</v>
      </c>
      <c r="D202" s="10">
        <v>373.52</v>
      </c>
      <c r="E202" s="10">
        <v>373.52</v>
      </c>
      <c r="F202" s="10">
        <v>0.49</v>
      </c>
      <c r="G202" s="22">
        <f t="shared" si="12"/>
        <v>62.487519999999989</v>
      </c>
      <c r="H202" s="21" t="s">
        <v>119</v>
      </c>
      <c r="I202" s="9"/>
      <c r="K202"/>
      <c r="L202" s="7">
        <f t="shared" si="11"/>
        <v>373.52</v>
      </c>
      <c r="M202" s="6"/>
      <c r="R202" s="7"/>
      <c r="S202" s="7"/>
    </row>
    <row r="203" spans="1:19" ht="14" x14ac:dyDescent="0.15">
      <c r="A203" s="21">
        <v>201</v>
      </c>
      <c r="B203" s="9" t="s">
        <v>220</v>
      </c>
      <c r="C203" s="9" t="s">
        <v>23</v>
      </c>
      <c r="D203" s="10">
        <v>264.14999999999998</v>
      </c>
      <c r="E203" s="10">
        <v>264.14999999999998</v>
      </c>
      <c r="F203" s="10">
        <v>0.64</v>
      </c>
      <c r="G203" s="22">
        <f t="shared" si="12"/>
        <v>62.75166999999999</v>
      </c>
      <c r="H203" s="21" t="s">
        <v>119</v>
      </c>
      <c r="I203" s="9"/>
      <c r="K203"/>
      <c r="L203" s="7">
        <f t="shared" si="11"/>
        <v>264.14999999999998</v>
      </c>
      <c r="M203" s="6"/>
      <c r="R203" s="7"/>
      <c r="S203" s="7"/>
    </row>
    <row r="204" spans="1:19" ht="14" x14ac:dyDescent="0.15">
      <c r="A204" s="21">
        <v>202</v>
      </c>
      <c r="B204" s="9" t="s">
        <v>221</v>
      </c>
      <c r="C204" s="9" t="s">
        <v>23</v>
      </c>
      <c r="D204" s="10">
        <v>324.85000000000002</v>
      </c>
      <c r="E204" s="10">
        <v>324.85000000000002</v>
      </c>
      <c r="F204" s="10">
        <v>0</v>
      </c>
      <c r="G204" s="22">
        <f t="shared" si="12"/>
        <v>63.076519999999988</v>
      </c>
      <c r="H204" s="21" t="s">
        <v>119</v>
      </c>
      <c r="I204" s="9"/>
      <c r="K204"/>
      <c r="L204" s="7">
        <f t="shared" si="11"/>
        <v>324.85000000000002</v>
      </c>
      <c r="M204" s="6"/>
      <c r="R204" s="7"/>
      <c r="S204" s="7"/>
    </row>
    <row r="205" spans="1:19" ht="14" x14ac:dyDescent="0.15">
      <c r="A205" s="21">
        <v>203</v>
      </c>
      <c r="B205" s="9" t="s">
        <v>222</v>
      </c>
      <c r="C205" s="9" t="s">
        <v>23</v>
      </c>
      <c r="D205" s="10">
        <v>329.49</v>
      </c>
      <c r="E205" s="10">
        <v>329.49</v>
      </c>
      <c r="F205" s="10">
        <v>0.8</v>
      </c>
      <c r="G205" s="22">
        <f t="shared" si="12"/>
        <v>63.406009999999988</v>
      </c>
      <c r="H205" s="21" t="s">
        <v>119</v>
      </c>
      <c r="I205" s="9"/>
      <c r="K205"/>
      <c r="L205" s="7">
        <f t="shared" si="11"/>
        <v>329.49</v>
      </c>
      <c r="M205" s="6"/>
      <c r="R205" s="7"/>
      <c r="S205" s="7"/>
    </row>
    <row r="206" spans="1:19" ht="14" x14ac:dyDescent="0.15">
      <c r="A206" s="21">
        <v>204</v>
      </c>
      <c r="B206" s="9" t="s">
        <v>223</v>
      </c>
      <c r="C206" s="9" t="s">
        <v>23</v>
      </c>
      <c r="D206" s="10">
        <v>281.75</v>
      </c>
      <c r="E206" s="10">
        <v>281.75</v>
      </c>
      <c r="F206" s="10">
        <v>0.63</v>
      </c>
      <c r="G206" s="22">
        <f t="shared" si="12"/>
        <v>63.68775999999999</v>
      </c>
      <c r="H206" s="21" t="s">
        <v>119</v>
      </c>
      <c r="I206" s="9"/>
      <c r="K206"/>
      <c r="L206" s="7">
        <f t="shared" si="11"/>
        <v>281.75</v>
      </c>
      <c r="M206" s="6"/>
      <c r="R206" s="7"/>
      <c r="S206" s="7"/>
    </row>
    <row r="207" spans="1:19" ht="14" x14ac:dyDescent="0.15">
      <c r="A207" s="21">
        <v>205</v>
      </c>
      <c r="B207" s="9" t="s">
        <v>224</v>
      </c>
      <c r="C207" s="9" t="s">
        <v>28</v>
      </c>
      <c r="D207" s="10">
        <v>297.67</v>
      </c>
      <c r="E207" s="10">
        <v>306.17</v>
      </c>
      <c r="F207" s="10">
        <v>16.37</v>
      </c>
      <c r="G207" s="22">
        <f t="shared" si="12"/>
        <v>63.993929999999992</v>
      </c>
      <c r="H207" s="21" t="s">
        <v>119</v>
      </c>
      <c r="I207" s="9"/>
      <c r="K207" s="7">
        <f>D207+8.5</f>
        <v>306.17</v>
      </c>
      <c r="L207" s="7">
        <f t="shared" si="11"/>
        <v>306.17</v>
      </c>
      <c r="M207" s="6"/>
      <c r="R207" s="7"/>
      <c r="S207" s="7"/>
    </row>
    <row r="208" spans="1:19" ht="14" x14ac:dyDescent="0.15">
      <c r="A208" s="21">
        <v>206</v>
      </c>
      <c r="B208" s="9" t="s">
        <v>225</v>
      </c>
      <c r="C208" s="9" t="s">
        <v>23</v>
      </c>
      <c r="D208" s="10">
        <v>333.73</v>
      </c>
      <c r="E208" s="10">
        <v>333.73</v>
      </c>
      <c r="F208" s="10">
        <v>0.17</v>
      </c>
      <c r="G208" s="22">
        <f t="shared" si="12"/>
        <v>64.327659999999995</v>
      </c>
      <c r="H208" s="21" t="s">
        <v>119</v>
      </c>
      <c r="I208" s="9"/>
      <c r="K208"/>
      <c r="L208" s="7">
        <f t="shared" si="11"/>
        <v>333.73</v>
      </c>
      <c r="M208" s="6"/>
      <c r="R208" s="7"/>
      <c r="S208" s="7"/>
    </row>
    <row r="209" spans="1:19" ht="14" x14ac:dyDescent="0.15">
      <c r="A209" s="21">
        <v>207</v>
      </c>
      <c r="B209" s="9" t="s">
        <v>226</v>
      </c>
      <c r="C209" s="9" t="s">
        <v>23</v>
      </c>
      <c r="D209" s="10">
        <v>325.45999999999998</v>
      </c>
      <c r="E209" s="10">
        <v>325.45999999999998</v>
      </c>
      <c r="F209" s="10">
        <v>0.02</v>
      </c>
      <c r="G209" s="22">
        <f t="shared" si="12"/>
        <v>64.653120000000001</v>
      </c>
      <c r="H209" s="21" t="s">
        <v>119</v>
      </c>
      <c r="I209" s="9"/>
      <c r="K209"/>
      <c r="L209" s="7">
        <f t="shared" si="11"/>
        <v>325.45999999999998</v>
      </c>
      <c r="M209" s="6"/>
      <c r="R209" s="7"/>
      <c r="S209" s="7"/>
    </row>
    <row r="210" spans="1:19" ht="14" x14ac:dyDescent="0.15">
      <c r="A210" s="21">
        <v>208</v>
      </c>
      <c r="B210" s="9" t="s">
        <v>227</v>
      </c>
      <c r="C210" s="9" t="s">
        <v>23</v>
      </c>
      <c r="D210" s="10">
        <v>314.14</v>
      </c>
      <c r="E210" s="10">
        <v>314.14</v>
      </c>
      <c r="F210" s="10">
        <v>0.46</v>
      </c>
      <c r="G210" s="22">
        <f t="shared" si="12"/>
        <v>64.967259999999996</v>
      </c>
      <c r="H210" s="21" t="s">
        <v>119</v>
      </c>
      <c r="I210" s="9"/>
      <c r="K210"/>
      <c r="L210" s="7">
        <f t="shared" si="11"/>
        <v>314.14</v>
      </c>
      <c r="M210" s="6"/>
      <c r="R210" s="7"/>
      <c r="S210" s="7"/>
    </row>
    <row r="211" spans="1:19" ht="14" x14ac:dyDescent="0.15">
      <c r="A211" s="21">
        <v>209</v>
      </c>
      <c r="B211" s="9" t="s">
        <v>228</v>
      </c>
      <c r="C211" s="9" t="s">
        <v>23</v>
      </c>
      <c r="D211" s="10">
        <v>327.76</v>
      </c>
      <c r="E211" s="10">
        <v>327.76</v>
      </c>
      <c r="F211" s="10">
        <v>0.82</v>
      </c>
      <c r="G211" s="22">
        <f t="shared" si="12"/>
        <v>65.295019999999994</v>
      </c>
      <c r="H211" s="21" t="s">
        <v>119</v>
      </c>
      <c r="I211" s="9"/>
      <c r="K211"/>
      <c r="L211" s="7">
        <f t="shared" si="11"/>
        <v>327.76</v>
      </c>
      <c r="M211" s="6"/>
      <c r="R211" s="7"/>
      <c r="S211" s="7"/>
    </row>
    <row r="212" spans="1:19" ht="14" x14ac:dyDescent="0.15">
      <c r="A212" s="21">
        <v>210</v>
      </c>
      <c r="B212" s="9" t="s">
        <v>229</v>
      </c>
      <c r="C212" s="9" t="s">
        <v>19</v>
      </c>
      <c r="D212" s="10">
        <v>281.23</v>
      </c>
      <c r="E212" s="10">
        <v>289.73</v>
      </c>
      <c r="F212" s="10">
        <v>56.26</v>
      </c>
      <c r="G212" s="22">
        <f t="shared" si="12"/>
        <v>65.58475</v>
      </c>
      <c r="H212" s="21" t="s">
        <v>119</v>
      </c>
      <c r="I212" s="9"/>
      <c r="K212" s="7">
        <f>D212+8.5</f>
        <v>289.73</v>
      </c>
      <c r="L212" s="7">
        <f t="shared" si="11"/>
        <v>289.73</v>
      </c>
      <c r="M212" s="6"/>
      <c r="R212" s="7"/>
      <c r="S212" s="7"/>
    </row>
    <row r="213" spans="1:19" ht="14" x14ac:dyDescent="0.15">
      <c r="A213" s="21">
        <v>211</v>
      </c>
      <c r="B213" s="9" t="s">
        <v>230</v>
      </c>
      <c r="C213" s="9" t="s">
        <v>23</v>
      </c>
      <c r="D213" s="10">
        <v>347.1</v>
      </c>
      <c r="E213" s="10">
        <v>347.1</v>
      </c>
      <c r="F213" s="10">
        <v>1.97</v>
      </c>
      <c r="G213" s="22">
        <f t="shared" si="12"/>
        <v>65.931849999999997</v>
      </c>
      <c r="H213" s="21" t="s">
        <v>119</v>
      </c>
      <c r="I213" s="9"/>
      <c r="K213"/>
      <c r="L213" s="7">
        <f t="shared" si="11"/>
        <v>347.1</v>
      </c>
      <c r="M213" s="6"/>
      <c r="R213" s="7"/>
      <c r="S213" s="7"/>
    </row>
    <row r="214" spans="1:19" ht="14" x14ac:dyDescent="0.15">
      <c r="A214" s="21">
        <v>212</v>
      </c>
      <c r="B214" s="9" t="s">
        <v>231</v>
      </c>
      <c r="C214" s="9" t="s">
        <v>23</v>
      </c>
      <c r="D214" s="10">
        <v>340.92</v>
      </c>
      <c r="E214" s="10">
        <v>340.92</v>
      </c>
      <c r="F214" s="10">
        <v>0.46</v>
      </c>
      <c r="G214" s="22">
        <f t="shared" si="12"/>
        <v>66.272769999999994</v>
      </c>
      <c r="H214" s="21" t="s">
        <v>119</v>
      </c>
      <c r="I214" s="9"/>
      <c r="K214"/>
      <c r="L214" s="7">
        <f t="shared" si="11"/>
        <v>340.92</v>
      </c>
      <c r="M214" s="6"/>
      <c r="R214" s="7"/>
      <c r="S214" s="7"/>
    </row>
    <row r="215" spans="1:19" ht="14" x14ac:dyDescent="0.15">
      <c r="A215" s="21">
        <v>213</v>
      </c>
      <c r="B215" s="9" t="s">
        <v>232</v>
      </c>
      <c r="C215" s="9" t="s">
        <v>23</v>
      </c>
      <c r="D215" s="10">
        <v>272.67</v>
      </c>
      <c r="E215" s="10">
        <v>272.67</v>
      </c>
      <c r="F215" s="10">
        <v>0.04</v>
      </c>
      <c r="G215" s="22">
        <f t="shared" si="12"/>
        <v>66.545439999999999</v>
      </c>
      <c r="H215" s="21" t="s">
        <v>119</v>
      </c>
      <c r="I215" s="9"/>
      <c r="K215"/>
      <c r="L215" s="7">
        <f t="shared" si="11"/>
        <v>272.67</v>
      </c>
      <c r="M215" s="6"/>
      <c r="R215" s="7"/>
      <c r="S215" s="7"/>
    </row>
    <row r="216" spans="1:19" ht="14" x14ac:dyDescent="0.15">
      <c r="A216" s="21">
        <v>214</v>
      </c>
      <c r="B216" s="9" t="s">
        <v>233</v>
      </c>
      <c r="C216" s="9" t="s">
        <v>23</v>
      </c>
      <c r="D216" s="10">
        <v>189.64</v>
      </c>
      <c r="E216" s="10">
        <v>189.64</v>
      </c>
      <c r="F216" s="10">
        <v>2.23</v>
      </c>
      <c r="G216" s="22">
        <f t="shared" si="12"/>
        <v>66.735079999999996</v>
      </c>
      <c r="H216" s="21" t="s">
        <v>119</v>
      </c>
      <c r="I216" s="9"/>
      <c r="K216"/>
      <c r="L216" s="7">
        <f t="shared" si="11"/>
        <v>189.64</v>
      </c>
      <c r="M216" s="6"/>
      <c r="R216" s="7"/>
      <c r="S216" s="7"/>
    </row>
    <row r="217" spans="1:19" ht="14" x14ac:dyDescent="0.15">
      <c r="A217" s="21">
        <v>215</v>
      </c>
      <c r="B217" s="9" t="s">
        <v>234</v>
      </c>
      <c r="C217" s="9" t="s">
        <v>16</v>
      </c>
      <c r="D217" s="10">
        <v>105.55</v>
      </c>
      <c r="E217" s="10">
        <v>105.55</v>
      </c>
      <c r="F217" s="10">
        <v>17.18</v>
      </c>
      <c r="G217" s="22">
        <f t="shared" si="12"/>
        <v>66.84062999999999</v>
      </c>
      <c r="H217" s="21" t="s">
        <v>119</v>
      </c>
      <c r="I217" s="9"/>
      <c r="K217"/>
      <c r="L217" s="7">
        <f t="shared" si="11"/>
        <v>105.55</v>
      </c>
      <c r="M217" s="6"/>
      <c r="R217" s="7"/>
      <c r="S217" s="7"/>
    </row>
    <row r="218" spans="1:19" ht="14" x14ac:dyDescent="0.15">
      <c r="A218" s="21">
        <v>216</v>
      </c>
      <c r="B218" s="9" t="s">
        <v>235</v>
      </c>
      <c r="C218" s="9" t="s">
        <v>19</v>
      </c>
      <c r="D218" s="10">
        <v>143.44999999999999</v>
      </c>
      <c r="E218" s="10">
        <v>151.94999999999999</v>
      </c>
      <c r="F218" s="10">
        <v>22.87</v>
      </c>
      <c r="G218" s="22">
        <f t="shared" si="12"/>
        <v>66.99257999999999</v>
      </c>
      <c r="H218" s="21" t="s">
        <v>119</v>
      </c>
      <c r="I218" s="9"/>
      <c r="K218" s="7">
        <f t="shared" ref="K218:K219" si="13">D218+8.5</f>
        <v>151.94999999999999</v>
      </c>
      <c r="L218" s="7">
        <f t="shared" si="11"/>
        <v>151.94999999999999</v>
      </c>
      <c r="M218" s="6"/>
      <c r="R218" s="7"/>
      <c r="S218" s="7"/>
    </row>
    <row r="219" spans="1:19" ht="14" x14ac:dyDescent="0.15">
      <c r="A219" s="21">
        <v>217</v>
      </c>
      <c r="B219" s="9" t="s">
        <v>236</v>
      </c>
      <c r="C219" s="9" t="s">
        <v>19</v>
      </c>
      <c r="D219" s="10">
        <v>296.49</v>
      </c>
      <c r="E219" s="10">
        <v>304.99</v>
      </c>
      <c r="F219" s="10">
        <v>16.899999999999999</v>
      </c>
      <c r="G219" s="22">
        <f t="shared" si="12"/>
        <v>67.297569999999993</v>
      </c>
      <c r="H219" s="21" t="s">
        <v>119</v>
      </c>
      <c r="I219" s="9"/>
      <c r="K219" s="7">
        <f t="shared" si="13"/>
        <v>304.99</v>
      </c>
      <c r="L219" s="7">
        <f t="shared" si="11"/>
        <v>304.99</v>
      </c>
      <c r="M219" s="6"/>
      <c r="R219" s="7"/>
      <c r="S219" s="7"/>
    </row>
    <row r="220" spans="1:19" ht="14" x14ac:dyDescent="0.15">
      <c r="A220" s="21">
        <v>218</v>
      </c>
      <c r="B220" s="9" t="s">
        <v>237</v>
      </c>
      <c r="C220" s="9" t="s">
        <v>23</v>
      </c>
      <c r="D220" s="10">
        <v>224.74</v>
      </c>
      <c r="E220" s="10">
        <v>224.74</v>
      </c>
      <c r="F220" s="10">
        <v>0.56000000000000005</v>
      </c>
      <c r="G220" s="22">
        <f t="shared" si="12"/>
        <v>67.52230999999999</v>
      </c>
      <c r="H220" s="21" t="s">
        <v>119</v>
      </c>
      <c r="I220" s="9"/>
      <c r="K220"/>
      <c r="L220" s="7">
        <f t="shared" si="11"/>
        <v>224.74</v>
      </c>
      <c r="M220" s="6"/>
      <c r="R220" s="7"/>
      <c r="S220" s="7"/>
    </row>
    <row r="221" spans="1:19" ht="14" x14ac:dyDescent="0.15">
      <c r="A221" s="21">
        <v>219</v>
      </c>
      <c r="B221" s="9" t="s">
        <v>238</v>
      </c>
      <c r="C221" s="9" t="s">
        <v>23</v>
      </c>
      <c r="D221" s="10">
        <v>346.97</v>
      </c>
      <c r="E221" s="10">
        <v>346.97</v>
      </c>
      <c r="F221" s="10">
        <v>1.62</v>
      </c>
      <c r="G221" s="22">
        <f t="shared" si="12"/>
        <v>67.869279999999989</v>
      </c>
      <c r="H221" s="21" t="s">
        <v>119</v>
      </c>
      <c r="I221" s="9"/>
      <c r="K221"/>
      <c r="L221" s="7">
        <f t="shared" si="11"/>
        <v>346.97</v>
      </c>
      <c r="M221" s="6"/>
      <c r="R221" s="7"/>
      <c r="S221" s="7"/>
    </row>
    <row r="222" spans="1:19" ht="14" x14ac:dyDescent="0.15">
      <c r="A222" s="21">
        <v>220</v>
      </c>
      <c r="B222" s="9" t="s">
        <v>239</v>
      </c>
      <c r="C222" s="9" t="s">
        <v>23</v>
      </c>
      <c r="D222" s="10">
        <v>333.49</v>
      </c>
      <c r="E222" s="10">
        <v>333.49</v>
      </c>
      <c r="F222" s="10">
        <v>3.64</v>
      </c>
      <c r="G222" s="22">
        <f t="shared" si="12"/>
        <v>68.202769999999987</v>
      </c>
      <c r="H222" s="21" t="s">
        <v>119</v>
      </c>
      <c r="I222" s="9"/>
      <c r="K222"/>
      <c r="L222" s="7">
        <f t="shared" si="11"/>
        <v>333.49</v>
      </c>
      <c r="M222" s="6"/>
      <c r="R222" s="7"/>
      <c r="S222" s="7"/>
    </row>
    <row r="223" spans="1:19" ht="14" x14ac:dyDescent="0.15">
      <c r="A223" s="21">
        <v>221</v>
      </c>
      <c r="B223" s="9" t="s">
        <v>240</v>
      </c>
      <c r="C223" s="9" t="s">
        <v>23</v>
      </c>
      <c r="D223" s="10">
        <v>308.56</v>
      </c>
      <c r="E223" s="10">
        <v>308.56</v>
      </c>
      <c r="F223" s="10">
        <v>2.4</v>
      </c>
      <c r="G223" s="22">
        <f t="shared" si="12"/>
        <v>68.511329999999987</v>
      </c>
      <c r="H223" s="21" t="s">
        <v>119</v>
      </c>
      <c r="I223" s="9"/>
      <c r="K223"/>
      <c r="L223" s="7">
        <f t="shared" si="11"/>
        <v>308.56</v>
      </c>
      <c r="M223" s="6"/>
      <c r="R223" s="7"/>
      <c r="S223" s="7"/>
    </row>
    <row r="224" spans="1:19" ht="14" x14ac:dyDescent="0.15">
      <c r="A224" s="21">
        <v>222</v>
      </c>
      <c r="B224" s="9" t="s">
        <v>241</v>
      </c>
      <c r="C224" s="9" t="s">
        <v>23</v>
      </c>
      <c r="D224" s="10">
        <v>333.08</v>
      </c>
      <c r="E224" s="10">
        <v>333.08</v>
      </c>
      <c r="F224" s="10">
        <v>0.27</v>
      </c>
      <c r="G224" s="22">
        <f t="shared" si="12"/>
        <v>68.844409999999982</v>
      </c>
      <c r="H224" s="21" t="s">
        <v>119</v>
      </c>
      <c r="I224" s="9"/>
      <c r="K224"/>
      <c r="L224" s="7">
        <f t="shared" si="11"/>
        <v>333.08</v>
      </c>
      <c r="M224" s="6"/>
      <c r="R224" s="7"/>
      <c r="S224" s="7"/>
    </row>
    <row r="225" spans="1:19" ht="14" x14ac:dyDescent="0.15">
      <c r="A225" s="21">
        <v>223</v>
      </c>
      <c r="B225" s="9" t="s">
        <v>242</v>
      </c>
      <c r="C225" s="9" t="s">
        <v>23</v>
      </c>
      <c r="D225" s="10">
        <v>275.52999999999997</v>
      </c>
      <c r="E225" s="10">
        <v>275.52999999999997</v>
      </c>
      <c r="F225" s="10">
        <v>1.22</v>
      </c>
      <c r="G225" s="22">
        <f t="shared" si="12"/>
        <v>69.119939999999986</v>
      </c>
      <c r="H225" s="21" t="s">
        <v>119</v>
      </c>
      <c r="I225" s="9"/>
      <c r="K225"/>
      <c r="L225" s="7">
        <f t="shared" si="11"/>
        <v>275.52999999999997</v>
      </c>
      <c r="M225" s="6"/>
      <c r="R225" s="7"/>
      <c r="S225" s="7"/>
    </row>
    <row r="226" spans="1:19" ht="14" x14ac:dyDescent="0.15">
      <c r="A226" s="21">
        <v>224</v>
      </c>
      <c r="B226" s="9" t="s">
        <v>243</v>
      </c>
      <c r="C226" s="9" t="s">
        <v>23</v>
      </c>
      <c r="D226" s="10">
        <v>327.56</v>
      </c>
      <c r="E226" s="10">
        <v>327.56</v>
      </c>
      <c r="F226" s="10">
        <v>1.96</v>
      </c>
      <c r="G226" s="22">
        <f t="shared" si="12"/>
        <v>69.447499999999991</v>
      </c>
      <c r="H226" s="21" t="s">
        <v>119</v>
      </c>
      <c r="I226" s="9"/>
      <c r="K226"/>
      <c r="L226" s="7">
        <f t="shared" si="11"/>
        <v>327.56</v>
      </c>
      <c r="M226" s="6"/>
      <c r="R226" s="7"/>
      <c r="S226" s="7"/>
    </row>
    <row r="227" spans="1:19" ht="14" x14ac:dyDescent="0.15">
      <c r="A227" s="21">
        <v>225</v>
      </c>
      <c r="B227" s="9" t="s">
        <v>244</v>
      </c>
      <c r="C227" s="9" t="s">
        <v>19</v>
      </c>
      <c r="D227" s="10">
        <v>294.95</v>
      </c>
      <c r="E227" s="10">
        <v>303.45</v>
      </c>
      <c r="F227" s="10">
        <v>54.82</v>
      </c>
      <c r="G227" s="22">
        <f t="shared" si="12"/>
        <v>69.750949999999989</v>
      </c>
      <c r="H227" s="21" t="s">
        <v>119</v>
      </c>
      <c r="I227" s="9"/>
      <c r="K227" s="7">
        <f>D227+8.5</f>
        <v>303.45</v>
      </c>
      <c r="L227" s="7">
        <f t="shared" si="11"/>
        <v>303.45</v>
      </c>
      <c r="M227" s="6"/>
      <c r="R227" s="7"/>
      <c r="S227" s="7"/>
    </row>
    <row r="228" spans="1:19" ht="56" x14ac:dyDescent="0.15">
      <c r="A228" s="22">
        <v>226</v>
      </c>
      <c r="B228" s="9" t="s">
        <v>245</v>
      </c>
      <c r="C228" s="9" t="s">
        <v>23</v>
      </c>
      <c r="D228" s="10">
        <v>285.27999999999997</v>
      </c>
      <c r="E228" s="10">
        <v>285.27999999999997</v>
      </c>
      <c r="F228" s="10">
        <v>0.38</v>
      </c>
      <c r="G228" s="22">
        <f t="shared" si="12"/>
        <v>70.036229999999989</v>
      </c>
      <c r="H228" s="22" t="s">
        <v>246</v>
      </c>
      <c r="I228" s="22" t="s">
        <v>247</v>
      </c>
      <c r="K228"/>
      <c r="L228" s="7">
        <f t="shared" si="11"/>
        <v>285.27999999999997</v>
      </c>
      <c r="M228" s="6"/>
      <c r="R228" s="7"/>
      <c r="S228" s="7"/>
    </row>
    <row r="229" spans="1:19" ht="14" x14ac:dyDescent="0.15">
      <c r="A229" s="21">
        <v>227</v>
      </c>
      <c r="B229" s="9" t="s">
        <v>248</v>
      </c>
      <c r="C229" s="9" t="s">
        <v>23</v>
      </c>
      <c r="D229" s="10">
        <v>316.86</v>
      </c>
      <c r="E229" s="10">
        <v>316.86</v>
      </c>
      <c r="F229" s="10">
        <v>0.11</v>
      </c>
      <c r="G229" s="22">
        <f t="shared" si="12"/>
        <v>70.353089999999995</v>
      </c>
      <c r="H229" s="21" t="s">
        <v>246</v>
      </c>
      <c r="I229" s="9"/>
      <c r="K229"/>
      <c r="L229" s="7">
        <f t="shared" si="11"/>
        <v>316.86</v>
      </c>
      <c r="M229" s="6"/>
      <c r="R229" s="7"/>
      <c r="S229" s="7"/>
    </row>
    <row r="230" spans="1:19" ht="14" x14ac:dyDescent="0.15">
      <c r="A230" s="21">
        <v>228</v>
      </c>
      <c r="B230" s="9" t="s">
        <v>249</v>
      </c>
      <c r="C230" s="9" t="s">
        <v>23</v>
      </c>
      <c r="D230" s="10">
        <v>291.81</v>
      </c>
      <c r="E230" s="10">
        <v>291.81</v>
      </c>
      <c r="F230" s="10">
        <v>0.89</v>
      </c>
      <c r="G230" s="22">
        <f t="shared" si="12"/>
        <v>70.644899999999993</v>
      </c>
      <c r="H230" s="21" t="s">
        <v>246</v>
      </c>
      <c r="I230" s="9"/>
      <c r="K230"/>
      <c r="L230" s="7">
        <f t="shared" si="11"/>
        <v>291.81</v>
      </c>
      <c r="M230" s="6"/>
      <c r="R230" s="7"/>
      <c r="S230" s="7"/>
    </row>
    <row r="231" spans="1:19" ht="14" x14ac:dyDescent="0.15">
      <c r="A231" s="21">
        <v>229</v>
      </c>
      <c r="B231" s="9" t="s">
        <v>250</v>
      </c>
      <c r="C231" s="9" t="s">
        <v>23</v>
      </c>
      <c r="D231" s="10">
        <v>341.62</v>
      </c>
      <c r="E231" s="10">
        <v>341.62</v>
      </c>
      <c r="F231" s="10">
        <v>0.64</v>
      </c>
      <c r="G231" s="22">
        <f t="shared" si="12"/>
        <v>70.986519999999999</v>
      </c>
      <c r="H231" s="21" t="s">
        <v>246</v>
      </c>
      <c r="I231" s="9"/>
      <c r="K231"/>
      <c r="L231" s="7">
        <f t="shared" si="11"/>
        <v>341.62</v>
      </c>
      <c r="M231" s="6"/>
      <c r="R231" s="7"/>
      <c r="S231" s="7"/>
    </row>
    <row r="232" spans="1:19" ht="14" x14ac:dyDescent="0.15">
      <c r="A232" s="21">
        <v>230</v>
      </c>
      <c r="B232" s="9" t="s">
        <v>251</v>
      </c>
      <c r="C232" s="9" t="s">
        <v>19</v>
      </c>
      <c r="D232" s="10">
        <v>222.22</v>
      </c>
      <c r="E232" s="10">
        <v>230.72</v>
      </c>
      <c r="F232" s="10">
        <v>49.8</v>
      </c>
      <c r="G232" s="22">
        <f t="shared" si="12"/>
        <v>71.217240000000004</v>
      </c>
      <c r="H232" s="21" t="s">
        <v>246</v>
      </c>
      <c r="I232" s="9"/>
      <c r="K232" s="7">
        <f t="shared" ref="K232:K233" si="14">D232+8.5</f>
        <v>230.72</v>
      </c>
      <c r="L232" s="7">
        <f t="shared" si="11"/>
        <v>230.72</v>
      </c>
      <c r="M232" s="6"/>
      <c r="R232" s="7"/>
      <c r="S232" s="7"/>
    </row>
    <row r="233" spans="1:19" ht="14" x14ac:dyDescent="0.15">
      <c r="A233" s="21">
        <v>231</v>
      </c>
      <c r="B233" s="9" t="s">
        <v>252</v>
      </c>
      <c r="C233" s="9" t="s">
        <v>14</v>
      </c>
      <c r="D233" s="10">
        <v>184.84</v>
      </c>
      <c r="E233" s="10">
        <v>193.34</v>
      </c>
      <c r="F233" s="10">
        <v>59.99</v>
      </c>
      <c r="G233" s="22">
        <f t="shared" si="12"/>
        <v>71.41058000000001</v>
      </c>
      <c r="H233" s="21" t="s">
        <v>246</v>
      </c>
      <c r="I233" s="9"/>
      <c r="K233" s="7">
        <f t="shared" si="14"/>
        <v>193.34</v>
      </c>
      <c r="L233" s="7">
        <f t="shared" si="11"/>
        <v>193.34</v>
      </c>
      <c r="M233" s="6"/>
      <c r="R233" s="7"/>
      <c r="S233" s="7"/>
    </row>
    <row r="234" spans="1:19" ht="14" x14ac:dyDescent="0.15">
      <c r="A234" s="21">
        <v>232</v>
      </c>
      <c r="B234" s="9" t="s">
        <v>253</v>
      </c>
      <c r="C234" s="9" t="s">
        <v>16</v>
      </c>
      <c r="D234" s="10">
        <v>223.68</v>
      </c>
      <c r="E234" s="10">
        <v>223.68</v>
      </c>
      <c r="F234" s="10">
        <v>0.41</v>
      </c>
      <c r="G234" s="22">
        <f t="shared" si="12"/>
        <v>71.634260000000012</v>
      </c>
      <c r="H234" s="21" t="s">
        <v>246</v>
      </c>
      <c r="I234" s="9"/>
      <c r="K234"/>
      <c r="L234" s="7">
        <f t="shared" si="11"/>
        <v>223.68</v>
      </c>
      <c r="M234" s="6"/>
      <c r="R234" s="7"/>
      <c r="S234" s="7"/>
    </row>
    <row r="235" spans="1:19" ht="14" x14ac:dyDescent="0.15">
      <c r="A235" s="21">
        <v>233</v>
      </c>
      <c r="B235" s="9" t="s">
        <v>254</v>
      </c>
      <c r="C235" s="9" t="s">
        <v>19</v>
      </c>
      <c r="D235" s="10">
        <v>215.23</v>
      </c>
      <c r="E235" s="10">
        <v>223.73</v>
      </c>
      <c r="F235" s="10">
        <v>25.05</v>
      </c>
      <c r="G235" s="22">
        <f t="shared" si="12"/>
        <v>71.857990000000015</v>
      </c>
      <c r="H235" s="21" t="s">
        <v>246</v>
      </c>
      <c r="I235" s="9"/>
      <c r="K235" s="7">
        <f>D235+8.5</f>
        <v>223.73</v>
      </c>
      <c r="L235" s="7">
        <f t="shared" si="11"/>
        <v>223.73</v>
      </c>
      <c r="M235" s="6"/>
      <c r="R235" s="7"/>
      <c r="S235" s="7"/>
    </row>
    <row r="236" spans="1:19" ht="14" x14ac:dyDescent="0.15">
      <c r="A236" s="21">
        <v>234</v>
      </c>
      <c r="B236" s="9" t="s">
        <v>255</v>
      </c>
      <c r="C236" s="9" t="s">
        <v>16</v>
      </c>
      <c r="D236" s="10">
        <v>149.01</v>
      </c>
      <c r="E236" s="10">
        <v>149.01</v>
      </c>
      <c r="F236" s="10">
        <v>5.13</v>
      </c>
      <c r="G236" s="22">
        <f t="shared" si="12"/>
        <v>72.007000000000019</v>
      </c>
      <c r="H236" s="21" t="s">
        <v>246</v>
      </c>
      <c r="I236" s="9"/>
      <c r="K236"/>
      <c r="L236" s="7">
        <f t="shared" si="11"/>
        <v>149.01</v>
      </c>
      <c r="M236" s="6"/>
      <c r="R236" s="7"/>
      <c r="S236" s="7"/>
    </row>
    <row r="237" spans="1:19" ht="14" x14ac:dyDescent="0.15">
      <c r="A237" s="21">
        <v>235</v>
      </c>
      <c r="B237" s="9" t="s">
        <v>256</v>
      </c>
      <c r="C237" s="9" t="s">
        <v>19</v>
      </c>
      <c r="D237" s="10">
        <v>344.75</v>
      </c>
      <c r="E237" s="10">
        <v>353.25</v>
      </c>
      <c r="F237" s="10">
        <v>22.14</v>
      </c>
      <c r="G237" s="22">
        <f t="shared" si="12"/>
        <v>72.360250000000022</v>
      </c>
      <c r="H237" s="21" t="s">
        <v>246</v>
      </c>
      <c r="I237" s="9"/>
      <c r="K237" s="7">
        <f t="shared" ref="K237:K242" si="15">D237+8.5</f>
        <v>353.25</v>
      </c>
      <c r="L237" s="7">
        <f t="shared" si="11"/>
        <v>353.25</v>
      </c>
      <c r="M237" s="6"/>
      <c r="R237" s="7"/>
      <c r="S237" s="7"/>
    </row>
    <row r="238" spans="1:19" ht="14" x14ac:dyDescent="0.15">
      <c r="A238" s="21">
        <v>236</v>
      </c>
      <c r="B238" s="9" t="s">
        <v>257</v>
      </c>
      <c r="C238" s="9" t="s">
        <v>28</v>
      </c>
      <c r="D238" s="10">
        <v>16.38</v>
      </c>
      <c r="E238" s="10">
        <v>24.88</v>
      </c>
      <c r="F238" s="10">
        <v>15.43</v>
      </c>
      <c r="G238" s="22">
        <f t="shared" si="12"/>
        <v>72.385130000000018</v>
      </c>
      <c r="H238" s="21" t="s">
        <v>246</v>
      </c>
      <c r="I238" s="9"/>
      <c r="K238" s="7">
        <f t="shared" si="15"/>
        <v>24.88</v>
      </c>
      <c r="L238" s="7">
        <f t="shared" si="11"/>
        <v>24.88</v>
      </c>
      <c r="M238" s="6"/>
      <c r="R238" s="7"/>
      <c r="S238" s="7"/>
    </row>
    <row r="239" spans="1:19" x14ac:dyDescent="0.15">
      <c r="A239" s="21"/>
      <c r="B239" s="9" t="s">
        <v>258</v>
      </c>
      <c r="C239" s="9" t="s">
        <v>14</v>
      </c>
      <c r="D239" s="10">
        <v>87.9</v>
      </c>
      <c r="E239" s="10">
        <v>96.4</v>
      </c>
      <c r="F239" s="10">
        <v>65.900000000000006</v>
      </c>
      <c r="G239" s="22">
        <f t="shared" si="12"/>
        <v>72.481530000000021</v>
      </c>
      <c r="H239" s="21"/>
      <c r="I239" s="9"/>
      <c r="K239" s="7">
        <f t="shared" si="15"/>
        <v>96.4</v>
      </c>
      <c r="L239" s="7">
        <f t="shared" si="11"/>
        <v>96.4</v>
      </c>
      <c r="M239" s="6"/>
      <c r="R239" s="7"/>
      <c r="S239" s="7"/>
    </row>
    <row r="240" spans="1:19" x14ac:dyDescent="0.15">
      <c r="A240" s="21"/>
      <c r="B240" s="9" t="s">
        <v>259</v>
      </c>
      <c r="C240" s="9" t="s">
        <v>14</v>
      </c>
      <c r="D240" s="10">
        <v>302.85000000000002</v>
      </c>
      <c r="E240" s="10">
        <v>311.35000000000002</v>
      </c>
      <c r="F240" s="10">
        <v>83.84</v>
      </c>
      <c r="G240" s="22">
        <f t="shared" si="12"/>
        <v>72.792880000000025</v>
      </c>
      <c r="H240" s="21"/>
      <c r="I240" s="9"/>
      <c r="K240" s="7">
        <f t="shared" si="15"/>
        <v>311.35000000000002</v>
      </c>
      <c r="L240" s="7">
        <f t="shared" si="11"/>
        <v>311.35000000000002</v>
      </c>
      <c r="M240" s="6"/>
      <c r="R240" s="7"/>
      <c r="S240" s="7"/>
    </row>
    <row r="241" spans="1:19" ht="14" x14ac:dyDescent="0.15">
      <c r="A241" s="21">
        <v>237</v>
      </c>
      <c r="B241" s="9" t="s">
        <v>260</v>
      </c>
      <c r="C241" s="9" t="s">
        <v>14</v>
      </c>
      <c r="D241" s="10">
        <v>327.41000000000003</v>
      </c>
      <c r="E241" s="10">
        <v>335.91</v>
      </c>
      <c r="F241" s="10">
        <v>15.53</v>
      </c>
      <c r="G241" s="22">
        <f t="shared" si="12"/>
        <v>73.128790000000023</v>
      </c>
      <c r="H241" s="21" t="s">
        <v>246</v>
      </c>
      <c r="I241" s="9"/>
      <c r="K241" s="7">
        <f t="shared" si="15"/>
        <v>335.91</v>
      </c>
      <c r="L241" s="7">
        <f t="shared" si="11"/>
        <v>335.91</v>
      </c>
      <c r="M241" s="6"/>
      <c r="R241" s="7"/>
      <c r="S241" s="7"/>
    </row>
    <row r="242" spans="1:19" ht="14" x14ac:dyDescent="0.15">
      <c r="A242" s="21">
        <v>238</v>
      </c>
      <c r="B242" s="9" t="s">
        <v>261</v>
      </c>
      <c r="C242" s="9" t="s">
        <v>19</v>
      </c>
      <c r="D242" s="10">
        <v>276.67</v>
      </c>
      <c r="E242" s="10">
        <v>285.17</v>
      </c>
      <c r="F242" s="10">
        <v>30.7</v>
      </c>
      <c r="G242" s="22">
        <f t="shared" si="12"/>
        <v>73.413960000000017</v>
      </c>
      <c r="H242" s="21" t="s">
        <v>246</v>
      </c>
      <c r="I242" s="9"/>
      <c r="K242" s="7">
        <f t="shared" si="15"/>
        <v>285.17</v>
      </c>
      <c r="L242" s="7">
        <f t="shared" si="11"/>
        <v>285.17</v>
      </c>
      <c r="M242" s="6"/>
      <c r="R242" s="7"/>
      <c r="S242" s="7"/>
    </row>
    <row r="243" spans="1:19" ht="14" x14ac:dyDescent="0.15">
      <c r="A243" s="21">
        <v>239</v>
      </c>
      <c r="B243" s="9" t="s">
        <v>262</v>
      </c>
      <c r="C243" s="9" t="s">
        <v>23</v>
      </c>
      <c r="D243" s="10">
        <v>344.19</v>
      </c>
      <c r="E243" s="10">
        <v>344.19</v>
      </c>
      <c r="F243" s="10">
        <v>0.28999999999999998</v>
      </c>
      <c r="G243" s="22">
        <f t="shared" si="12"/>
        <v>73.758150000000015</v>
      </c>
      <c r="H243" s="21" t="s">
        <v>246</v>
      </c>
      <c r="I243" s="9"/>
      <c r="K243"/>
      <c r="L243" s="7">
        <f t="shared" si="11"/>
        <v>344.19</v>
      </c>
      <c r="M243" s="6"/>
      <c r="R243" s="7"/>
      <c r="S243" s="7"/>
    </row>
    <row r="244" spans="1:19" ht="14" x14ac:dyDescent="0.15">
      <c r="A244" s="21">
        <v>240</v>
      </c>
      <c r="B244" s="9" t="s">
        <v>263</v>
      </c>
      <c r="C244" s="9" t="s">
        <v>23</v>
      </c>
      <c r="D244" s="10">
        <v>301.66000000000003</v>
      </c>
      <c r="E244" s="10">
        <v>301.66000000000003</v>
      </c>
      <c r="F244" s="10">
        <v>0.14000000000000001</v>
      </c>
      <c r="G244" s="22">
        <f t="shared" si="12"/>
        <v>74.059810000000013</v>
      </c>
      <c r="H244" s="21" t="s">
        <v>246</v>
      </c>
      <c r="I244" s="9"/>
      <c r="K244"/>
      <c r="L244" s="7">
        <f t="shared" si="11"/>
        <v>301.66000000000003</v>
      </c>
      <c r="M244" s="6"/>
      <c r="R244" s="7"/>
      <c r="S244" s="7"/>
    </row>
    <row r="245" spans="1:19" ht="14" x14ac:dyDescent="0.15">
      <c r="A245" s="21">
        <v>241</v>
      </c>
      <c r="B245" s="9" t="s">
        <v>264</v>
      </c>
      <c r="C245" s="9" t="s">
        <v>23</v>
      </c>
      <c r="D245" s="10">
        <v>300.38</v>
      </c>
      <c r="E245" s="10">
        <v>300.38</v>
      </c>
      <c r="F245" s="10">
        <v>0.13</v>
      </c>
      <c r="G245" s="22">
        <f t="shared" si="12"/>
        <v>74.360190000000017</v>
      </c>
      <c r="H245" s="21" t="s">
        <v>246</v>
      </c>
      <c r="I245" s="9"/>
      <c r="K245"/>
      <c r="L245" s="7">
        <f t="shared" si="11"/>
        <v>300.38</v>
      </c>
      <c r="M245" s="6"/>
      <c r="R245" s="7"/>
      <c r="S245" s="7"/>
    </row>
    <row r="246" spans="1:19" ht="14" x14ac:dyDescent="0.15">
      <c r="A246" s="21">
        <v>242</v>
      </c>
      <c r="B246" s="9" t="s">
        <v>265</v>
      </c>
      <c r="C246" s="9" t="s">
        <v>23</v>
      </c>
      <c r="D246" s="10">
        <v>364.66</v>
      </c>
      <c r="E246" s="10">
        <v>364.66</v>
      </c>
      <c r="F246" s="10">
        <v>0.02</v>
      </c>
      <c r="G246" s="22">
        <f t="shared" si="12"/>
        <v>74.724850000000018</v>
      </c>
      <c r="H246" s="21" t="s">
        <v>246</v>
      </c>
      <c r="I246" s="9"/>
      <c r="K246"/>
      <c r="L246" s="7">
        <f t="shared" si="11"/>
        <v>364.66</v>
      </c>
      <c r="M246" s="6"/>
      <c r="R246" s="7"/>
      <c r="S246" s="7"/>
    </row>
    <row r="247" spans="1:19" ht="14" x14ac:dyDescent="0.15">
      <c r="A247" s="21">
        <v>243</v>
      </c>
      <c r="B247" s="9" t="s">
        <v>266</v>
      </c>
      <c r="C247" s="9" t="s">
        <v>23</v>
      </c>
      <c r="D247" s="10">
        <v>344.54</v>
      </c>
      <c r="E247" s="10">
        <v>344.54</v>
      </c>
      <c r="F247" s="10">
        <v>0.11</v>
      </c>
      <c r="G247" s="22">
        <f t="shared" si="12"/>
        <v>75.069390000000013</v>
      </c>
      <c r="H247" s="21" t="s">
        <v>246</v>
      </c>
      <c r="I247" s="9"/>
      <c r="K247"/>
      <c r="L247" s="7">
        <f t="shared" si="11"/>
        <v>344.54</v>
      </c>
      <c r="M247" s="6"/>
      <c r="R247" s="7"/>
      <c r="S247" s="7"/>
    </row>
    <row r="248" spans="1:19" ht="14" x14ac:dyDescent="0.15">
      <c r="A248" s="21">
        <v>244</v>
      </c>
      <c r="B248" s="9" t="s">
        <v>267</v>
      </c>
      <c r="C248" s="9" t="s">
        <v>23</v>
      </c>
      <c r="D248" s="10">
        <v>360.49</v>
      </c>
      <c r="E248" s="10">
        <v>360.49</v>
      </c>
      <c r="F248" s="10">
        <v>0.01</v>
      </c>
      <c r="G248" s="22">
        <f t="shared" si="12"/>
        <v>75.429880000000011</v>
      </c>
      <c r="H248" s="21" t="s">
        <v>246</v>
      </c>
      <c r="I248" s="9"/>
      <c r="K248"/>
      <c r="L248" s="7">
        <f t="shared" si="11"/>
        <v>360.49</v>
      </c>
      <c r="M248" s="6"/>
      <c r="R248" s="7"/>
      <c r="S248" s="7"/>
    </row>
    <row r="249" spans="1:19" ht="14" x14ac:dyDescent="0.15">
      <c r="A249" s="21">
        <v>245</v>
      </c>
      <c r="B249" s="9" t="s">
        <v>268</v>
      </c>
      <c r="C249" s="9" t="s">
        <v>23</v>
      </c>
      <c r="D249" s="10">
        <v>319.3</v>
      </c>
      <c r="E249" s="10">
        <v>319.3</v>
      </c>
      <c r="F249" s="10">
        <v>0.12</v>
      </c>
      <c r="G249" s="22">
        <f t="shared" si="12"/>
        <v>75.74918000000001</v>
      </c>
      <c r="H249" s="21" t="s">
        <v>246</v>
      </c>
      <c r="I249" s="9"/>
      <c r="K249"/>
      <c r="L249" s="7">
        <f t="shared" si="11"/>
        <v>319.3</v>
      </c>
      <c r="M249" s="6"/>
      <c r="R249" s="7"/>
      <c r="S249" s="7"/>
    </row>
    <row r="250" spans="1:19" ht="14" x14ac:dyDescent="0.15">
      <c r="A250" s="21">
        <v>246</v>
      </c>
      <c r="B250" s="9" t="s">
        <v>269</v>
      </c>
      <c r="C250" s="9" t="s">
        <v>23</v>
      </c>
      <c r="D250" s="10">
        <v>379.37</v>
      </c>
      <c r="E250" s="10">
        <v>379.37</v>
      </c>
      <c r="F250" s="10">
        <v>0.26</v>
      </c>
      <c r="G250" s="22">
        <f t="shared" si="12"/>
        <v>76.128550000000004</v>
      </c>
      <c r="H250" s="21" t="s">
        <v>246</v>
      </c>
      <c r="I250" s="9"/>
      <c r="K250"/>
      <c r="L250" s="7">
        <f t="shared" si="11"/>
        <v>379.37</v>
      </c>
      <c r="M250" s="6"/>
      <c r="R250" s="7"/>
      <c r="S250" s="7"/>
    </row>
    <row r="251" spans="1:19" ht="14" x14ac:dyDescent="0.15">
      <c r="A251" s="21">
        <v>247</v>
      </c>
      <c r="B251" s="9" t="s">
        <v>270</v>
      </c>
      <c r="C251" s="9" t="s">
        <v>23</v>
      </c>
      <c r="D251" s="10">
        <v>310.2</v>
      </c>
      <c r="E251" s="10">
        <v>310.2</v>
      </c>
      <c r="F251" s="10">
        <v>0.11</v>
      </c>
      <c r="G251" s="22">
        <f t="shared" si="12"/>
        <v>76.438749999999999</v>
      </c>
      <c r="H251" s="21" t="s">
        <v>246</v>
      </c>
      <c r="I251" s="9"/>
      <c r="K251"/>
      <c r="L251" s="7">
        <f t="shared" si="11"/>
        <v>310.2</v>
      </c>
      <c r="M251" s="6"/>
      <c r="R251" s="7"/>
      <c r="S251" s="7"/>
    </row>
    <row r="252" spans="1:19" ht="14" x14ac:dyDescent="0.15">
      <c r="A252" s="21">
        <v>248</v>
      </c>
      <c r="B252" s="9" t="s">
        <v>271</v>
      </c>
      <c r="C252" s="9" t="s">
        <v>16</v>
      </c>
      <c r="D252" s="10">
        <v>306.38</v>
      </c>
      <c r="E252" s="10">
        <v>306.38</v>
      </c>
      <c r="F252" s="10">
        <v>9.5</v>
      </c>
      <c r="G252" s="22">
        <f t="shared" si="12"/>
        <v>76.745130000000003</v>
      </c>
      <c r="H252" s="21" t="s">
        <v>246</v>
      </c>
      <c r="I252" s="9"/>
      <c r="K252"/>
      <c r="L252" s="7">
        <f t="shared" si="11"/>
        <v>306.38</v>
      </c>
      <c r="M252" s="6"/>
      <c r="R252" s="7"/>
      <c r="S252" s="7"/>
    </row>
    <row r="253" spans="1:19" ht="14" x14ac:dyDescent="0.15">
      <c r="A253" s="21">
        <v>249</v>
      </c>
      <c r="B253" s="9" t="s">
        <v>272</v>
      </c>
      <c r="C253" s="9" t="s">
        <v>23</v>
      </c>
      <c r="D253" s="10">
        <v>373.23</v>
      </c>
      <c r="E253" s="10">
        <v>373.23</v>
      </c>
      <c r="F253" s="10">
        <v>0.32</v>
      </c>
      <c r="G253" s="22">
        <f t="shared" si="12"/>
        <v>77.11836000000001</v>
      </c>
      <c r="H253" s="21" t="s">
        <v>246</v>
      </c>
      <c r="I253" s="9"/>
      <c r="K253"/>
      <c r="L253" s="7">
        <f t="shared" si="11"/>
        <v>373.23</v>
      </c>
      <c r="M253" s="6"/>
      <c r="R253" s="7"/>
      <c r="S253" s="7"/>
    </row>
    <row r="254" spans="1:19" ht="14" x14ac:dyDescent="0.15">
      <c r="A254" s="21">
        <v>250</v>
      </c>
      <c r="B254" s="9" t="s">
        <v>273</v>
      </c>
      <c r="C254" s="9" t="s">
        <v>23</v>
      </c>
      <c r="D254" s="10">
        <v>324.7</v>
      </c>
      <c r="E254" s="10">
        <v>324.7</v>
      </c>
      <c r="F254" s="10">
        <v>0.17</v>
      </c>
      <c r="G254" s="22">
        <f t="shared" si="12"/>
        <v>77.443060000000003</v>
      </c>
      <c r="H254" s="21" t="s">
        <v>246</v>
      </c>
      <c r="I254" s="9"/>
      <c r="K254"/>
      <c r="L254" s="7">
        <f t="shared" si="11"/>
        <v>324.7</v>
      </c>
      <c r="M254" s="6"/>
      <c r="R254" s="7"/>
      <c r="S254" s="7"/>
    </row>
    <row r="255" spans="1:19" ht="14" x14ac:dyDescent="0.15">
      <c r="A255" s="21">
        <v>251</v>
      </c>
      <c r="B255" s="9" t="s">
        <v>274</v>
      </c>
      <c r="C255" s="9" t="s">
        <v>23</v>
      </c>
      <c r="D255" s="10">
        <v>353.14</v>
      </c>
      <c r="E255" s="10">
        <v>353.14</v>
      </c>
      <c r="F255" s="10">
        <v>0.1</v>
      </c>
      <c r="G255" s="22">
        <f t="shared" si="12"/>
        <v>77.796199999999999</v>
      </c>
      <c r="H255" s="21" t="s">
        <v>246</v>
      </c>
      <c r="I255" s="9"/>
      <c r="K255"/>
      <c r="L255" s="7">
        <f t="shared" si="11"/>
        <v>353.14</v>
      </c>
      <c r="M255" s="6"/>
      <c r="R255" s="7"/>
      <c r="S255" s="7"/>
    </row>
    <row r="256" spans="1:19" ht="14" x14ac:dyDescent="0.15">
      <c r="A256" s="21">
        <v>252</v>
      </c>
      <c r="B256" s="9" t="s">
        <v>275</v>
      </c>
      <c r="C256" s="9" t="s">
        <v>23</v>
      </c>
      <c r="D256" s="10">
        <v>295.24</v>
      </c>
      <c r="E256" s="10">
        <v>295.24</v>
      </c>
      <c r="F256" s="10">
        <v>0.31</v>
      </c>
      <c r="G256" s="22">
        <f t="shared" si="12"/>
        <v>78.091440000000006</v>
      </c>
      <c r="H256" s="21" t="s">
        <v>246</v>
      </c>
      <c r="I256" s="9"/>
      <c r="K256"/>
      <c r="L256" s="7">
        <f t="shared" si="11"/>
        <v>295.24</v>
      </c>
      <c r="M256" s="6"/>
      <c r="R256" s="7"/>
      <c r="S256" s="7"/>
    </row>
    <row r="257" spans="1:19" ht="14" x14ac:dyDescent="0.15">
      <c r="A257" s="21">
        <v>253</v>
      </c>
      <c r="B257" s="9" t="s">
        <v>276</v>
      </c>
      <c r="C257" s="9" t="s">
        <v>23</v>
      </c>
      <c r="D257" s="10">
        <v>336.69</v>
      </c>
      <c r="E257" s="10">
        <v>336.69</v>
      </c>
      <c r="F257" s="10">
        <v>0.79</v>
      </c>
      <c r="G257" s="22">
        <f t="shared" si="12"/>
        <v>78.42813000000001</v>
      </c>
      <c r="H257" s="21" t="s">
        <v>246</v>
      </c>
      <c r="I257" s="9"/>
      <c r="K257"/>
      <c r="L257" s="7">
        <f t="shared" si="11"/>
        <v>336.69</v>
      </c>
      <c r="M257" s="6"/>
      <c r="R257" s="7"/>
      <c r="S257" s="7"/>
    </row>
    <row r="258" spans="1:19" ht="14" x14ac:dyDescent="0.15">
      <c r="A258" s="21">
        <v>254</v>
      </c>
      <c r="B258" s="9" t="s">
        <v>277</v>
      </c>
      <c r="C258" s="9" t="s">
        <v>23</v>
      </c>
      <c r="D258" s="10">
        <v>275.64</v>
      </c>
      <c r="E258" s="10">
        <v>275.64</v>
      </c>
      <c r="F258" s="10">
        <v>0.45</v>
      </c>
      <c r="G258" s="22">
        <f t="shared" si="12"/>
        <v>78.703770000000006</v>
      </c>
      <c r="H258" s="21" t="s">
        <v>246</v>
      </c>
      <c r="I258" s="9"/>
      <c r="K258"/>
      <c r="L258" s="7">
        <f t="shared" si="11"/>
        <v>275.64</v>
      </c>
      <c r="M258" s="6"/>
      <c r="R258" s="7"/>
      <c r="S258" s="7"/>
    </row>
    <row r="259" spans="1:19" ht="14" x14ac:dyDescent="0.15">
      <c r="A259" s="21">
        <v>255</v>
      </c>
      <c r="B259" s="9" t="s">
        <v>278</v>
      </c>
      <c r="C259" s="9" t="s">
        <v>23</v>
      </c>
      <c r="D259" s="10">
        <v>314.19</v>
      </c>
      <c r="E259" s="10">
        <v>314.19</v>
      </c>
      <c r="F259" s="10">
        <v>0.16</v>
      </c>
      <c r="G259" s="22">
        <f t="shared" si="12"/>
        <v>79.017960000000002</v>
      </c>
      <c r="H259" s="21" t="s">
        <v>246</v>
      </c>
      <c r="I259" s="9"/>
      <c r="K259"/>
      <c r="L259" s="7">
        <f t="shared" ref="L259:L322" si="16">IF(K259&lt;&gt;"",K259,D259)</f>
        <v>314.19</v>
      </c>
      <c r="M259" s="6"/>
      <c r="R259" s="7"/>
      <c r="S259" s="7"/>
    </row>
    <row r="260" spans="1:19" ht="14" x14ac:dyDescent="0.15">
      <c r="A260" s="21">
        <v>256</v>
      </c>
      <c r="B260" s="9" t="s">
        <v>279</v>
      </c>
      <c r="C260" s="9" t="s">
        <v>19</v>
      </c>
      <c r="D260" s="10">
        <v>316.08</v>
      </c>
      <c r="E260" s="10">
        <v>324.58</v>
      </c>
      <c r="F260" s="10">
        <v>2.34</v>
      </c>
      <c r="G260" s="22">
        <f t="shared" ref="G260:G323" si="17">E260/1000+G259</f>
        <v>79.34254</v>
      </c>
      <c r="H260" s="21" t="s">
        <v>246</v>
      </c>
      <c r="I260" s="9"/>
      <c r="K260" s="7">
        <f>D260+8.5</f>
        <v>324.58</v>
      </c>
      <c r="L260" s="7">
        <f t="shared" si="16"/>
        <v>324.58</v>
      </c>
      <c r="M260" s="6"/>
      <c r="R260" s="7"/>
      <c r="S260" s="7"/>
    </row>
    <row r="261" spans="1:19" ht="14" x14ac:dyDescent="0.15">
      <c r="A261" s="21">
        <v>257</v>
      </c>
      <c r="B261" s="9" t="s">
        <v>280</v>
      </c>
      <c r="C261" s="9" t="s">
        <v>16</v>
      </c>
      <c r="D261" s="10">
        <v>360</v>
      </c>
      <c r="E261" s="10">
        <v>360</v>
      </c>
      <c r="F261" s="10">
        <v>0.34</v>
      </c>
      <c r="G261" s="22">
        <f t="shared" si="17"/>
        <v>79.702539999999999</v>
      </c>
      <c r="H261" s="21" t="s">
        <v>246</v>
      </c>
      <c r="I261" s="9"/>
      <c r="K261"/>
      <c r="L261" s="7">
        <f t="shared" si="16"/>
        <v>360</v>
      </c>
      <c r="M261" s="6"/>
      <c r="R261" s="7"/>
      <c r="S261" s="7"/>
    </row>
    <row r="262" spans="1:19" ht="14" x14ac:dyDescent="0.15">
      <c r="A262" s="21">
        <v>258</v>
      </c>
      <c r="B262" s="9" t="s">
        <v>281</v>
      </c>
      <c r="C262" s="9" t="s">
        <v>19</v>
      </c>
      <c r="D262" s="10">
        <v>294.44</v>
      </c>
      <c r="E262" s="10">
        <v>302.94</v>
      </c>
      <c r="F262" s="10">
        <v>0.59</v>
      </c>
      <c r="G262" s="22">
        <f t="shared" si="17"/>
        <v>80.005480000000006</v>
      </c>
      <c r="H262" s="21" t="s">
        <v>246</v>
      </c>
      <c r="I262" s="9"/>
      <c r="K262" s="7">
        <f>D262+8.5</f>
        <v>302.94</v>
      </c>
      <c r="L262" s="7">
        <f t="shared" si="16"/>
        <v>302.94</v>
      </c>
      <c r="M262" s="6"/>
      <c r="R262" s="7"/>
      <c r="S262" s="7"/>
    </row>
    <row r="263" spans="1:19" ht="14" x14ac:dyDescent="0.15">
      <c r="A263" s="21">
        <v>259</v>
      </c>
      <c r="B263" s="9" t="s">
        <v>282</v>
      </c>
      <c r="C263" s="9" t="s">
        <v>16</v>
      </c>
      <c r="D263" s="10">
        <v>340.55</v>
      </c>
      <c r="E263" s="10">
        <v>340.55</v>
      </c>
      <c r="F263" s="10">
        <v>0.13</v>
      </c>
      <c r="G263" s="22">
        <f t="shared" si="17"/>
        <v>80.346029999999999</v>
      </c>
      <c r="H263" s="21" t="s">
        <v>246</v>
      </c>
      <c r="I263" s="9"/>
      <c r="K263"/>
      <c r="L263" s="7">
        <f t="shared" si="16"/>
        <v>340.55</v>
      </c>
      <c r="M263" s="6"/>
      <c r="R263" s="7"/>
      <c r="S263" s="7"/>
    </row>
    <row r="264" spans="1:19" ht="14" x14ac:dyDescent="0.15">
      <c r="A264" s="21">
        <v>260</v>
      </c>
      <c r="B264" s="9" t="s">
        <v>283</v>
      </c>
      <c r="C264" s="9" t="s">
        <v>19</v>
      </c>
      <c r="D264" s="10">
        <v>355.82</v>
      </c>
      <c r="E264" s="10">
        <v>364.32</v>
      </c>
      <c r="F264" s="10">
        <v>0.21</v>
      </c>
      <c r="G264" s="22">
        <f t="shared" si="17"/>
        <v>80.710350000000005</v>
      </c>
      <c r="H264" s="21" t="s">
        <v>246</v>
      </c>
      <c r="I264" s="9"/>
      <c r="K264" s="7">
        <f t="shared" ref="K264:K265" si="18">D264+8.5</f>
        <v>364.32</v>
      </c>
      <c r="L264" s="7">
        <f t="shared" si="16"/>
        <v>364.32</v>
      </c>
      <c r="M264" s="6"/>
      <c r="R264" s="7"/>
      <c r="S264" s="7"/>
    </row>
    <row r="265" spans="1:19" ht="14" x14ac:dyDescent="0.15">
      <c r="A265" s="21">
        <v>261</v>
      </c>
      <c r="B265" s="9" t="s">
        <v>284</v>
      </c>
      <c r="C265" s="9" t="s">
        <v>28</v>
      </c>
      <c r="D265" s="10">
        <v>306.25</v>
      </c>
      <c r="E265" s="10">
        <v>314.75</v>
      </c>
      <c r="F265" s="10">
        <v>20.350000000000001</v>
      </c>
      <c r="G265" s="22">
        <f t="shared" si="17"/>
        <v>81.025100000000009</v>
      </c>
      <c r="H265" s="21" t="s">
        <v>246</v>
      </c>
      <c r="I265" s="9"/>
      <c r="K265" s="7">
        <f t="shared" si="18"/>
        <v>314.75</v>
      </c>
      <c r="L265" s="7">
        <f t="shared" si="16"/>
        <v>314.75</v>
      </c>
      <c r="M265" s="6"/>
      <c r="R265" s="7"/>
      <c r="S265" s="7"/>
    </row>
    <row r="266" spans="1:19" ht="14" x14ac:dyDescent="0.15">
      <c r="A266" s="21">
        <v>262</v>
      </c>
      <c r="B266" s="9" t="s">
        <v>285</v>
      </c>
      <c r="C266" s="9" t="s">
        <v>23</v>
      </c>
      <c r="D266" s="10">
        <v>317.93</v>
      </c>
      <c r="E266" s="10">
        <v>317.93</v>
      </c>
      <c r="F266" s="10">
        <v>0.28999999999999998</v>
      </c>
      <c r="G266" s="22">
        <f t="shared" si="17"/>
        <v>81.343030000000013</v>
      </c>
      <c r="H266" s="21" t="s">
        <v>246</v>
      </c>
      <c r="I266" s="9"/>
      <c r="K266"/>
      <c r="L266" s="7">
        <f t="shared" si="16"/>
        <v>317.93</v>
      </c>
      <c r="M266" s="6"/>
      <c r="R266" s="7"/>
      <c r="S266" s="7"/>
    </row>
    <row r="267" spans="1:19" ht="14" x14ac:dyDescent="0.15">
      <c r="A267" s="21">
        <v>263</v>
      </c>
      <c r="B267" s="9" t="s">
        <v>286</v>
      </c>
      <c r="C267" s="9" t="s">
        <v>23</v>
      </c>
      <c r="D267" s="10">
        <v>302.82</v>
      </c>
      <c r="E267" s="10">
        <v>302.82</v>
      </c>
      <c r="F267" s="10">
        <v>0.3</v>
      </c>
      <c r="G267" s="22">
        <f t="shared" si="17"/>
        <v>81.64585000000001</v>
      </c>
      <c r="H267" s="21" t="s">
        <v>246</v>
      </c>
      <c r="I267" s="9"/>
      <c r="K267"/>
      <c r="L267" s="7">
        <f t="shared" si="16"/>
        <v>302.82</v>
      </c>
      <c r="M267" s="6"/>
      <c r="R267" s="7"/>
      <c r="S267" s="7"/>
    </row>
    <row r="268" spans="1:19" ht="14" x14ac:dyDescent="0.15">
      <c r="A268" s="21">
        <v>264</v>
      </c>
      <c r="B268" s="9" t="s">
        <v>287</v>
      </c>
      <c r="C268" s="9" t="s">
        <v>23</v>
      </c>
      <c r="D268" s="10">
        <v>304.14</v>
      </c>
      <c r="E268" s="10">
        <v>304.14</v>
      </c>
      <c r="F268" s="10">
        <v>0.3</v>
      </c>
      <c r="G268" s="22">
        <f t="shared" si="17"/>
        <v>81.949990000000014</v>
      </c>
      <c r="H268" s="21" t="s">
        <v>246</v>
      </c>
      <c r="I268" s="9"/>
      <c r="K268"/>
      <c r="L268" s="7">
        <f t="shared" si="16"/>
        <v>304.14</v>
      </c>
      <c r="M268" s="6"/>
      <c r="R268" s="7"/>
      <c r="S268" s="7"/>
    </row>
    <row r="269" spans="1:19" ht="14" x14ac:dyDescent="0.15">
      <c r="A269" s="21">
        <v>265</v>
      </c>
      <c r="B269" s="9" t="s">
        <v>288</v>
      </c>
      <c r="C269" s="9" t="s">
        <v>23</v>
      </c>
      <c r="D269" s="10">
        <v>277.83</v>
      </c>
      <c r="E269" s="10">
        <v>277.83</v>
      </c>
      <c r="F269" s="10">
        <v>0.4</v>
      </c>
      <c r="G269" s="22">
        <f t="shared" si="17"/>
        <v>82.227820000000008</v>
      </c>
      <c r="H269" s="21" t="s">
        <v>246</v>
      </c>
      <c r="I269" s="9"/>
      <c r="K269"/>
      <c r="L269" s="7">
        <f t="shared" si="16"/>
        <v>277.83</v>
      </c>
      <c r="M269" s="6"/>
      <c r="R269" s="7"/>
      <c r="S269" s="7"/>
    </row>
    <row r="270" spans="1:19" ht="14" x14ac:dyDescent="0.15">
      <c r="A270" s="21">
        <v>266</v>
      </c>
      <c r="B270" s="9" t="s">
        <v>289</v>
      </c>
      <c r="C270" s="9" t="s">
        <v>23</v>
      </c>
      <c r="D270" s="10">
        <v>278.92</v>
      </c>
      <c r="E270" s="10">
        <v>278.92</v>
      </c>
      <c r="F270" s="10">
        <v>0.45</v>
      </c>
      <c r="G270" s="22">
        <f t="shared" si="17"/>
        <v>82.506740000000008</v>
      </c>
      <c r="H270" s="21" t="s">
        <v>246</v>
      </c>
      <c r="I270" s="9"/>
      <c r="K270"/>
      <c r="L270" s="7">
        <f t="shared" si="16"/>
        <v>278.92</v>
      </c>
      <c r="M270" s="6"/>
      <c r="R270" s="7"/>
      <c r="S270" s="7"/>
    </row>
    <row r="271" spans="1:19" ht="14" x14ac:dyDescent="0.15">
      <c r="A271" s="21">
        <v>267</v>
      </c>
      <c r="B271" s="9" t="s">
        <v>290</v>
      </c>
      <c r="C271" s="9" t="s">
        <v>28</v>
      </c>
      <c r="D271" s="10">
        <v>312.89</v>
      </c>
      <c r="E271" s="10">
        <v>321.39</v>
      </c>
      <c r="F271" s="10">
        <v>20.62</v>
      </c>
      <c r="G271" s="22">
        <f t="shared" si="17"/>
        <v>82.828130000000002</v>
      </c>
      <c r="H271" s="21" t="s">
        <v>246</v>
      </c>
      <c r="I271" s="9"/>
      <c r="K271" s="7">
        <f>D271+8.5</f>
        <v>321.39</v>
      </c>
      <c r="L271" s="7">
        <f t="shared" si="16"/>
        <v>321.39</v>
      </c>
      <c r="M271" s="6"/>
      <c r="R271" s="7"/>
      <c r="S271" s="7"/>
    </row>
    <row r="272" spans="1:19" ht="14" x14ac:dyDescent="0.15">
      <c r="A272" s="21">
        <v>268</v>
      </c>
      <c r="B272" s="9" t="s">
        <v>291</v>
      </c>
      <c r="C272" s="9" t="s">
        <v>23</v>
      </c>
      <c r="D272" s="10">
        <v>343.64</v>
      </c>
      <c r="E272" s="10">
        <v>343.64</v>
      </c>
      <c r="F272" s="10">
        <v>0.69</v>
      </c>
      <c r="G272" s="22">
        <f t="shared" si="17"/>
        <v>83.171769999999995</v>
      </c>
      <c r="H272" s="21" t="s">
        <v>246</v>
      </c>
      <c r="I272" s="9"/>
      <c r="K272"/>
      <c r="L272" s="7">
        <f t="shared" si="16"/>
        <v>343.64</v>
      </c>
      <c r="M272" s="6"/>
      <c r="R272" s="7"/>
      <c r="S272" s="7"/>
    </row>
    <row r="273" spans="1:19" ht="14" x14ac:dyDescent="0.15">
      <c r="A273" s="21">
        <v>269</v>
      </c>
      <c r="B273" s="9" t="s">
        <v>292</v>
      </c>
      <c r="C273" s="9" t="s">
        <v>23</v>
      </c>
      <c r="D273" s="10">
        <v>321.54000000000002</v>
      </c>
      <c r="E273" s="10">
        <v>321.54000000000002</v>
      </c>
      <c r="F273" s="10">
        <v>0.66</v>
      </c>
      <c r="G273" s="22">
        <f t="shared" si="17"/>
        <v>83.493309999999994</v>
      </c>
      <c r="H273" s="21" t="s">
        <v>246</v>
      </c>
      <c r="I273" s="9"/>
      <c r="K273"/>
      <c r="L273" s="7">
        <f t="shared" si="16"/>
        <v>321.54000000000002</v>
      </c>
      <c r="M273" s="6"/>
      <c r="R273" s="7"/>
      <c r="S273" s="7"/>
    </row>
    <row r="274" spans="1:19" ht="14" x14ac:dyDescent="0.15">
      <c r="A274" s="21">
        <v>270</v>
      </c>
      <c r="B274" s="9" t="s">
        <v>293</v>
      </c>
      <c r="C274" s="9" t="s">
        <v>23</v>
      </c>
      <c r="D274" s="10">
        <v>352.21</v>
      </c>
      <c r="E274" s="10">
        <v>352.21</v>
      </c>
      <c r="F274" s="10">
        <v>0.27</v>
      </c>
      <c r="G274" s="22">
        <f t="shared" si="17"/>
        <v>83.845519999999993</v>
      </c>
      <c r="H274" s="21" t="s">
        <v>246</v>
      </c>
      <c r="I274" s="9"/>
      <c r="K274"/>
      <c r="L274" s="7">
        <f t="shared" si="16"/>
        <v>352.21</v>
      </c>
      <c r="M274" s="6"/>
      <c r="R274" s="7"/>
      <c r="S274" s="7"/>
    </row>
    <row r="275" spans="1:19" ht="14" x14ac:dyDescent="0.15">
      <c r="A275" s="21">
        <v>271</v>
      </c>
      <c r="B275" s="9" t="s">
        <v>294</v>
      </c>
      <c r="C275" s="9" t="s">
        <v>23</v>
      </c>
      <c r="D275" s="10">
        <v>348.93</v>
      </c>
      <c r="E275" s="10">
        <v>348.93</v>
      </c>
      <c r="F275" s="10">
        <v>0.11</v>
      </c>
      <c r="G275" s="22">
        <f t="shared" si="17"/>
        <v>84.194449999999989</v>
      </c>
      <c r="H275" s="21" t="s">
        <v>246</v>
      </c>
      <c r="I275" s="9"/>
      <c r="K275"/>
      <c r="L275" s="7">
        <f t="shared" si="16"/>
        <v>348.93</v>
      </c>
      <c r="M275" s="6"/>
      <c r="R275" s="7"/>
      <c r="S275" s="7"/>
    </row>
    <row r="276" spans="1:19" ht="14" x14ac:dyDescent="0.15">
      <c r="A276" s="21">
        <v>272</v>
      </c>
      <c r="B276" s="9" t="s">
        <v>295</v>
      </c>
      <c r="C276" s="9" t="s">
        <v>23</v>
      </c>
      <c r="D276" s="10">
        <v>345.94</v>
      </c>
      <c r="E276" s="10">
        <v>345.94</v>
      </c>
      <c r="F276" s="10">
        <v>0.7</v>
      </c>
      <c r="G276" s="22">
        <f t="shared" si="17"/>
        <v>84.540389999999988</v>
      </c>
      <c r="H276" s="21" t="s">
        <v>246</v>
      </c>
      <c r="I276" s="9"/>
      <c r="K276"/>
      <c r="L276" s="7">
        <f t="shared" si="16"/>
        <v>345.94</v>
      </c>
      <c r="M276" s="6"/>
      <c r="R276" s="7"/>
      <c r="S276" s="7"/>
    </row>
    <row r="277" spans="1:19" ht="14" x14ac:dyDescent="0.15">
      <c r="A277" s="21">
        <v>273</v>
      </c>
      <c r="B277" s="9" t="s">
        <v>296</v>
      </c>
      <c r="C277" s="9" t="s">
        <v>23</v>
      </c>
      <c r="D277" s="10">
        <v>293.12</v>
      </c>
      <c r="E277" s="10">
        <v>293.12</v>
      </c>
      <c r="F277" s="10">
        <v>0.46</v>
      </c>
      <c r="G277" s="22">
        <f t="shared" si="17"/>
        <v>84.83350999999999</v>
      </c>
      <c r="H277" s="21" t="s">
        <v>246</v>
      </c>
      <c r="I277" s="9"/>
      <c r="K277"/>
      <c r="L277" s="7">
        <f t="shared" si="16"/>
        <v>293.12</v>
      </c>
      <c r="M277" s="6"/>
      <c r="R277" s="7"/>
      <c r="S277" s="7"/>
    </row>
    <row r="278" spans="1:19" ht="14" x14ac:dyDescent="0.15">
      <c r="A278" s="21">
        <v>274</v>
      </c>
      <c r="B278" s="9" t="s">
        <v>297</v>
      </c>
      <c r="C278" s="9" t="s">
        <v>16</v>
      </c>
      <c r="D278" s="10">
        <v>314.75</v>
      </c>
      <c r="E278" s="10">
        <v>314.75</v>
      </c>
      <c r="F278" s="10">
        <v>1.75</v>
      </c>
      <c r="G278" s="22">
        <f t="shared" si="17"/>
        <v>85.148259999999993</v>
      </c>
      <c r="H278" s="21" t="s">
        <v>246</v>
      </c>
      <c r="I278" s="9"/>
      <c r="K278"/>
      <c r="L278" s="7">
        <f t="shared" si="16"/>
        <v>314.75</v>
      </c>
      <c r="M278" s="6"/>
      <c r="R278" s="7"/>
      <c r="S278" s="7"/>
    </row>
    <row r="279" spans="1:19" ht="14" x14ac:dyDescent="0.15">
      <c r="A279" s="21">
        <v>275</v>
      </c>
      <c r="B279" s="9" t="s">
        <v>298</v>
      </c>
      <c r="C279" s="9" t="s">
        <v>23</v>
      </c>
      <c r="D279" s="10">
        <v>335.45</v>
      </c>
      <c r="E279" s="10">
        <v>335.45</v>
      </c>
      <c r="F279" s="10">
        <v>0.62</v>
      </c>
      <c r="G279" s="22">
        <f t="shared" si="17"/>
        <v>85.483709999999988</v>
      </c>
      <c r="H279" s="21" t="s">
        <v>246</v>
      </c>
      <c r="I279" s="9"/>
      <c r="K279"/>
      <c r="L279" s="7">
        <f t="shared" si="16"/>
        <v>335.45</v>
      </c>
      <c r="M279" s="6"/>
      <c r="R279" s="7"/>
      <c r="S279" s="7"/>
    </row>
    <row r="280" spans="1:19" ht="14" x14ac:dyDescent="0.15">
      <c r="A280" s="21">
        <v>276</v>
      </c>
      <c r="B280" s="9" t="s">
        <v>299</v>
      </c>
      <c r="C280" s="9" t="s">
        <v>28</v>
      </c>
      <c r="D280" s="10">
        <v>259.69</v>
      </c>
      <c r="E280" s="10">
        <v>268.19</v>
      </c>
      <c r="F280" s="10">
        <v>26.04</v>
      </c>
      <c r="G280" s="22">
        <f t="shared" si="17"/>
        <v>85.751899999999992</v>
      </c>
      <c r="H280" s="21" t="s">
        <v>246</v>
      </c>
      <c r="I280" s="9"/>
      <c r="K280" s="7">
        <f t="shared" ref="K280:K281" si="19">D280+8.5</f>
        <v>268.19</v>
      </c>
      <c r="L280" s="7">
        <f t="shared" si="16"/>
        <v>268.19</v>
      </c>
      <c r="M280" s="6"/>
      <c r="R280" s="7"/>
      <c r="S280" s="7"/>
    </row>
    <row r="281" spans="1:19" ht="14" x14ac:dyDescent="0.15">
      <c r="A281" s="21">
        <v>277</v>
      </c>
      <c r="B281" s="9" t="s">
        <v>300</v>
      </c>
      <c r="C281" s="9" t="s">
        <v>14</v>
      </c>
      <c r="D281" s="10">
        <v>107.81</v>
      </c>
      <c r="E281" s="10">
        <v>116.31</v>
      </c>
      <c r="F281" s="10">
        <v>59.61</v>
      </c>
      <c r="G281" s="22">
        <f t="shared" si="17"/>
        <v>85.868209999999991</v>
      </c>
      <c r="H281" s="21" t="s">
        <v>246</v>
      </c>
      <c r="I281" s="9"/>
      <c r="K281" s="7">
        <f t="shared" si="19"/>
        <v>116.31</v>
      </c>
      <c r="L281" s="7">
        <f t="shared" si="16"/>
        <v>116.31</v>
      </c>
      <c r="M281" s="6"/>
      <c r="R281" s="7"/>
      <c r="S281" s="7"/>
    </row>
    <row r="282" spans="1:19" ht="14" x14ac:dyDescent="0.15">
      <c r="A282" s="21">
        <v>278</v>
      </c>
      <c r="B282" s="9" t="s">
        <v>301</v>
      </c>
      <c r="C282" s="9" t="s">
        <v>10</v>
      </c>
      <c r="D282" s="10">
        <v>59.49</v>
      </c>
      <c r="E282" s="10">
        <v>59.49</v>
      </c>
      <c r="F282" s="10">
        <v>0.22</v>
      </c>
      <c r="G282" s="22">
        <f t="shared" si="17"/>
        <v>85.927699999999987</v>
      </c>
      <c r="H282" s="21" t="s">
        <v>246</v>
      </c>
      <c r="I282" s="9"/>
      <c r="K282"/>
      <c r="L282" s="7">
        <f t="shared" si="16"/>
        <v>59.49</v>
      </c>
      <c r="M282" s="6"/>
      <c r="R282" s="7"/>
      <c r="S282" s="7"/>
    </row>
    <row r="283" spans="1:19" ht="14" x14ac:dyDescent="0.15">
      <c r="A283" s="21">
        <v>279</v>
      </c>
      <c r="B283" s="9" t="s">
        <v>302</v>
      </c>
      <c r="C283" s="9" t="s">
        <v>10</v>
      </c>
      <c r="D283" s="10">
        <v>98.11</v>
      </c>
      <c r="E283" s="10">
        <v>98.11</v>
      </c>
      <c r="F283" s="10">
        <v>0.95</v>
      </c>
      <c r="G283" s="22">
        <f t="shared" si="17"/>
        <v>86.025809999999993</v>
      </c>
      <c r="H283" s="21" t="s">
        <v>246</v>
      </c>
      <c r="I283" s="9"/>
      <c r="K283"/>
      <c r="L283" s="7">
        <f t="shared" si="16"/>
        <v>98.11</v>
      </c>
      <c r="M283" s="6"/>
      <c r="R283" s="7"/>
      <c r="S283" s="7"/>
    </row>
    <row r="284" spans="1:19" ht="14" x14ac:dyDescent="0.15">
      <c r="A284" s="21">
        <v>280</v>
      </c>
      <c r="B284" s="9" t="s">
        <v>303</v>
      </c>
      <c r="C284" s="9" t="s">
        <v>19</v>
      </c>
      <c r="D284" s="10">
        <v>130.69</v>
      </c>
      <c r="E284" s="10">
        <v>139.19</v>
      </c>
      <c r="F284" s="10">
        <v>6.79</v>
      </c>
      <c r="G284" s="22">
        <f t="shared" si="17"/>
        <v>86.164999999999992</v>
      </c>
      <c r="H284" s="21" t="s">
        <v>246</v>
      </c>
      <c r="I284" s="9"/>
      <c r="K284" s="7">
        <f t="shared" ref="K284:K285" si="20">D284+8.5</f>
        <v>139.19</v>
      </c>
      <c r="L284" s="7">
        <f t="shared" si="16"/>
        <v>139.19</v>
      </c>
      <c r="M284" s="6"/>
      <c r="R284" s="7"/>
      <c r="S284" s="7"/>
    </row>
    <row r="285" spans="1:19" ht="14" x14ac:dyDescent="0.15">
      <c r="A285" s="21">
        <v>281</v>
      </c>
      <c r="B285" s="9" t="s">
        <v>304</v>
      </c>
      <c r="C285" s="9" t="s">
        <v>19</v>
      </c>
      <c r="D285" s="10">
        <v>276.17</v>
      </c>
      <c r="E285" s="10">
        <v>284.67</v>
      </c>
      <c r="F285" s="10">
        <v>47.3</v>
      </c>
      <c r="G285" s="22">
        <f t="shared" si="17"/>
        <v>86.449669999999998</v>
      </c>
      <c r="H285" s="21" t="s">
        <v>246</v>
      </c>
      <c r="I285" s="9"/>
      <c r="K285" s="7">
        <f t="shared" si="20"/>
        <v>284.67</v>
      </c>
      <c r="L285" s="7">
        <f t="shared" si="16"/>
        <v>284.67</v>
      </c>
      <c r="M285" s="6"/>
      <c r="R285" s="7"/>
      <c r="S285" s="7"/>
    </row>
    <row r="286" spans="1:19" ht="14" x14ac:dyDescent="0.15">
      <c r="A286" s="21">
        <v>282</v>
      </c>
      <c r="B286" s="9" t="s">
        <v>305</v>
      </c>
      <c r="C286" s="9" t="s">
        <v>23</v>
      </c>
      <c r="D286" s="10">
        <v>355</v>
      </c>
      <c r="E286" s="10">
        <v>355</v>
      </c>
      <c r="F286" s="10">
        <v>0.17</v>
      </c>
      <c r="G286" s="22">
        <f t="shared" si="17"/>
        <v>86.804670000000002</v>
      </c>
      <c r="H286" s="21" t="s">
        <v>246</v>
      </c>
      <c r="I286" s="9"/>
      <c r="K286"/>
      <c r="L286" s="7">
        <f t="shared" si="16"/>
        <v>355</v>
      </c>
      <c r="M286" s="6"/>
      <c r="R286" s="7"/>
      <c r="S286" s="7"/>
    </row>
    <row r="287" spans="1:19" ht="14" x14ac:dyDescent="0.15">
      <c r="A287" s="21">
        <v>283</v>
      </c>
      <c r="B287" s="9" t="s">
        <v>306</v>
      </c>
      <c r="C287" s="9" t="s">
        <v>23</v>
      </c>
      <c r="D287" s="10">
        <v>362.87</v>
      </c>
      <c r="E287" s="10">
        <v>362.87</v>
      </c>
      <c r="F287" s="10">
        <v>0.17</v>
      </c>
      <c r="G287" s="22">
        <f t="shared" si="17"/>
        <v>87.167540000000002</v>
      </c>
      <c r="H287" s="21" t="s">
        <v>246</v>
      </c>
      <c r="I287" s="9"/>
      <c r="K287"/>
      <c r="L287" s="7">
        <f t="shared" si="16"/>
        <v>362.87</v>
      </c>
      <c r="M287" s="6"/>
      <c r="R287" s="7"/>
      <c r="S287" s="7"/>
    </row>
    <row r="288" spans="1:19" ht="14" x14ac:dyDescent="0.15">
      <c r="A288" s="21">
        <v>284</v>
      </c>
      <c r="B288" s="9" t="s">
        <v>307</v>
      </c>
      <c r="C288" s="9" t="s">
        <v>23</v>
      </c>
      <c r="D288" s="10">
        <v>325.56</v>
      </c>
      <c r="E288" s="10">
        <v>325.56</v>
      </c>
      <c r="F288" s="10">
        <v>0.13</v>
      </c>
      <c r="G288" s="22">
        <f t="shared" si="17"/>
        <v>87.493099999999998</v>
      </c>
      <c r="H288" s="21" t="s">
        <v>246</v>
      </c>
      <c r="I288" s="9"/>
      <c r="K288"/>
      <c r="L288" s="7">
        <f t="shared" si="16"/>
        <v>325.56</v>
      </c>
      <c r="M288" s="6"/>
      <c r="R288" s="7"/>
      <c r="S288" s="7"/>
    </row>
    <row r="289" spans="1:19" ht="14" x14ac:dyDescent="0.15">
      <c r="A289" s="21">
        <v>285</v>
      </c>
      <c r="B289" s="9" t="s">
        <v>308</v>
      </c>
      <c r="C289" s="9" t="s">
        <v>19</v>
      </c>
      <c r="D289" s="10">
        <v>355.26</v>
      </c>
      <c r="E289" s="10">
        <v>363.76</v>
      </c>
      <c r="F289" s="10">
        <v>50.6</v>
      </c>
      <c r="G289" s="22">
        <f t="shared" si="17"/>
        <v>87.856859999999998</v>
      </c>
      <c r="H289" s="21" t="s">
        <v>246</v>
      </c>
      <c r="I289" s="9"/>
      <c r="K289" s="7">
        <f>D289+8.5</f>
        <v>363.76</v>
      </c>
      <c r="L289" s="7">
        <f t="shared" si="16"/>
        <v>363.76</v>
      </c>
      <c r="M289" s="6"/>
      <c r="R289" s="7"/>
      <c r="S289" s="7"/>
    </row>
    <row r="290" spans="1:19" ht="14" x14ac:dyDescent="0.15">
      <c r="A290" s="21">
        <v>286</v>
      </c>
      <c r="B290" s="9" t="s">
        <v>309</v>
      </c>
      <c r="C290" s="9" t="s">
        <v>23</v>
      </c>
      <c r="D290" s="10">
        <v>339.26</v>
      </c>
      <c r="E290" s="10">
        <v>339.26</v>
      </c>
      <c r="F290" s="10">
        <v>1.37</v>
      </c>
      <c r="G290" s="22">
        <f t="shared" si="17"/>
        <v>88.196119999999993</v>
      </c>
      <c r="H290" s="21" t="s">
        <v>246</v>
      </c>
      <c r="I290" s="9"/>
      <c r="K290"/>
      <c r="L290" s="7">
        <f t="shared" si="16"/>
        <v>339.26</v>
      </c>
      <c r="M290" s="6"/>
      <c r="R290" s="7"/>
      <c r="S290" s="7"/>
    </row>
    <row r="291" spans="1:19" ht="14" x14ac:dyDescent="0.15">
      <c r="A291" s="21">
        <v>287</v>
      </c>
      <c r="B291" s="9" t="s">
        <v>310</v>
      </c>
      <c r="C291" s="9" t="s">
        <v>23</v>
      </c>
      <c r="D291" s="10">
        <v>348.9</v>
      </c>
      <c r="E291" s="10">
        <v>348.9</v>
      </c>
      <c r="F291" s="10">
        <v>0.25</v>
      </c>
      <c r="G291" s="22">
        <f t="shared" si="17"/>
        <v>88.545019999999994</v>
      </c>
      <c r="H291" s="21" t="s">
        <v>246</v>
      </c>
      <c r="I291" s="9"/>
      <c r="K291"/>
      <c r="L291" s="7">
        <f t="shared" si="16"/>
        <v>348.9</v>
      </c>
      <c r="M291" s="6"/>
      <c r="R291" s="7"/>
      <c r="S291" s="7"/>
    </row>
    <row r="292" spans="1:19" ht="14" x14ac:dyDescent="0.15">
      <c r="A292" s="21">
        <v>288</v>
      </c>
      <c r="B292" s="9" t="s">
        <v>311</v>
      </c>
      <c r="C292" s="9" t="s">
        <v>23</v>
      </c>
      <c r="D292" s="10">
        <v>324.66000000000003</v>
      </c>
      <c r="E292" s="10">
        <v>324.66000000000003</v>
      </c>
      <c r="F292" s="10">
        <v>0.33</v>
      </c>
      <c r="G292" s="22">
        <f t="shared" si="17"/>
        <v>88.869679999999988</v>
      </c>
      <c r="H292" s="21" t="s">
        <v>246</v>
      </c>
      <c r="I292" s="9"/>
      <c r="K292"/>
      <c r="L292" s="7">
        <f t="shared" si="16"/>
        <v>324.66000000000003</v>
      </c>
      <c r="M292" s="6"/>
      <c r="R292" s="7"/>
      <c r="S292" s="7"/>
    </row>
    <row r="293" spans="1:19" ht="14" x14ac:dyDescent="0.15">
      <c r="A293" s="21">
        <v>289</v>
      </c>
      <c r="B293" s="9" t="s">
        <v>312</v>
      </c>
      <c r="C293" s="9" t="s">
        <v>23</v>
      </c>
      <c r="D293" s="10">
        <v>350.57</v>
      </c>
      <c r="E293" s="10">
        <v>350.57</v>
      </c>
      <c r="F293" s="10">
        <v>7.0000000000000007E-2</v>
      </c>
      <c r="G293" s="22">
        <f t="shared" si="17"/>
        <v>89.220249999999993</v>
      </c>
      <c r="H293" s="21" t="s">
        <v>246</v>
      </c>
      <c r="I293" s="9"/>
      <c r="K293"/>
      <c r="L293" s="7">
        <f t="shared" si="16"/>
        <v>350.57</v>
      </c>
      <c r="M293" s="6"/>
      <c r="R293" s="7"/>
      <c r="S293" s="7"/>
    </row>
    <row r="294" spans="1:19" ht="14" x14ac:dyDescent="0.15">
      <c r="A294" s="21">
        <v>290</v>
      </c>
      <c r="B294" s="9" t="s">
        <v>313</v>
      </c>
      <c r="C294" s="9" t="s">
        <v>23</v>
      </c>
      <c r="D294" s="10">
        <v>254.15</v>
      </c>
      <c r="E294" s="10">
        <v>254.15</v>
      </c>
      <c r="F294" s="10">
        <v>0.11</v>
      </c>
      <c r="G294" s="22">
        <f t="shared" si="17"/>
        <v>89.474399999999989</v>
      </c>
      <c r="H294" s="21" t="s">
        <v>246</v>
      </c>
      <c r="I294" s="9"/>
      <c r="K294"/>
      <c r="L294" s="7">
        <f t="shared" si="16"/>
        <v>254.15</v>
      </c>
      <c r="M294" s="6"/>
      <c r="R294" s="7"/>
      <c r="S294" s="7"/>
    </row>
    <row r="295" spans="1:19" ht="14" x14ac:dyDescent="0.15">
      <c r="A295" s="21">
        <v>291</v>
      </c>
      <c r="B295" s="9" t="s">
        <v>314</v>
      </c>
      <c r="C295" s="9" t="s">
        <v>28</v>
      </c>
      <c r="D295" s="10">
        <v>354.72</v>
      </c>
      <c r="E295" s="10">
        <v>363.22</v>
      </c>
      <c r="F295" s="10">
        <v>24.02</v>
      </c>
      <c r="G295" s="22">
        <f t="shared" si="17"/>
        <v>89.837619999999987</v>
      </c>
      <c r="H295" s="21" t="s">
        <v>246</v>
      </c>
      <c r="I295" s="9"/>
      <c r="K295" s="7">
        <f>D295+8.5</f>
        <v>363.22</v>
      </c>
      <c r="L295" s="7">
        <f t="shared" si="16"/>
        <v>363.22</v>
      </c>
      <c r="M295" s="6"/>
      <c r="R295" s="7"/>
      <c r="S295" s="7"/>
    </row>
    <row r="296" spans="1:19" ht="14" x14ac:dyDescent="0.15">
      <c r="A296" s="21">
        <v>292</v>
      </c>
      <c r="B296" s="9" t="s">
        <v>315</v>
      </c>
      <c r="C296" s="9" t="s">
        <v>23</v>
      </c>
      <c r="D296" s="10">
        <v>325.26</v>
      </c>
      <c r="E296" s="10">
        <v>325.26</v>
      </c>
      <c r="F296" s="10">
        <v>0.18</v>
      </c>
      <c r="G296" s="22">
        <f t="shared" si="17"/>
        <v>90.162879999999987</v>
      </c>
      <c r="H296" s="21" t="s">
        <v>246</v>
      </c>
      <c r="I296" s="9"/>
      <c r="K296"/>
      <c r="L296" s="7">
        <f t="shared" si="16"/>
        <v>325.26</v>
      </c>
      <c r="M296" s="6"/>
      <c r="R296" s="7"/>
      <c r="S296" s="7"/>
    </row>
    <row r="297" spans="1:19" ht="14" x14ac:dyDescent="0.15">
      <c r="A297" s="21">
        <v>293</v>
      </c>
      <c r="B297" s="9" t="s">
        <v>316</v>
      </c>
      <c r="C297" s="9" t="s">
        <v>23</v>
      </c>
      <c r="D297" s="10">
        <v>272.49</v>
      </c>
      <c r="E297" s="10">
        <v>272.49</v>
      </c>
      <c r="F297" s="10">
        <v>0.09</v>
      </c>
      <c r="G297" s="22">
        <f t="shared" si="17"/>
        <v>90.435369999999992</v>
      </c>
      <c r="H297" s="21" t="s">
        <v>246</v>
      </c>
      <c r="I297" s="9"/>
      <c r="K297"/>
      <c r="L297" s="7">
        <f t="shared" si="16"/>
        <v>272.49</v>
      </c>
      <c r="M297" s="6"/>
      <c r="R297" s="7"/>
      <c r="S297" s="7"/>
    </row>
    <row r="298" spans="1:19" ht="14" x14ac:dyDescent="0.15">
      <c r="A298" s="21">
        <v>294</v>
      </c>
      <c r="B298" s="9" t="s">
        <v>317</v>
      </c>
      <c r="C298" s="9" t="s">
        <v>19</v>
      </c>
      <c r="D298" s="10">
        <v>321.35000000000002</v>
      </c>
      <c r="E298" s="10">
        <v>329.85</v>
      </c>
      <c r="F298" s="10">
        <v>57.65</v>
      </c>
      <c r="G298" s="22">
        <f t="shared" si="17"/>
        <v>90.765219999999985</v>
      </c>
      <c r="H298" s="21" t="s">
        <v>246</v>
      </c>
      <c r="I298" s="9"/>
      <c r="K298" s="7">
        <f>D298+8.5</f>
        <v>329.85</v>
      </c>
      <c r="L298" s="7">
        <f t="shared" si="16"/>
        <v>329.85</v>
      </c>
      <c r="M298" s="6"/>
      <c r="R298" s="7"/>
      <c r="S298" s="7"/>
    </row>
    <row r="299" spans="1:19" ht="14" x14ac:dyDescent="0.15">
      <c r="A299" s="21">
        <v>295</v>
      </c>
      <c r="B299" s="9" t="s">
        <v>318</v>
      </c>
      <c r="C299" s="9" t="s">
        <v>23</v>
      </c>
      <c r="D299" s="10">
        <v>300.70999999999998</v>
      </c>
      <c r="E299" s="10">
        <v>300.70999999999998</v>
      </c>
      <c r="F299" s="10">
        <v>0.16</v>
      </c>
      <c r="G299" s="22">
        <f t="shared" si="17"/>
        <v>91.06592999999998</v>
      </c>
      <c r="H299" s="21" t="s">
        <v>246</v>
      </c>
      <c r="I299" s="9"/>
      <c r="K299"/>
      <c r="L299" s="7">
        <f t="shared" si="16"/>
        <v>300.70999999999998</v>
      </c>
      <c r="M299" s="6"/>
      <c r="R299" s="7"/>
      <c r="S299" s="7"/>
    </row>
    <row r="300" spans="1:19" ht="14" x14ac:dyDescent="0.15">
      <c r="A300" s="21">
        <v>296</v>
      </c>
      <c r="B300" s="9" t="s">
        <v>319</v>
      </c>
      <c r="C300" s="9" t="s">
        <v>23</v>
      </c>
      <c r="D300" s="10">
        <v>298.70999999999998</v>
      </c>
      <c r="E300" s="10">
        <v>298.70999999999998</v>
      </c>
      <c r="F300" s="10">
        <v>0.33</v>
      </c>
      <c r="G300" s="22">
        <f t="shared" si="17"/>
        <v>91.36463999999998</v>
      </c>
      <c r="H300" s="21" t="s">
        <v>246</v>
      </c>
      <c r="I300" s="9"/>
      <c r="K300"/>
      <c r="L300" s="7">
        <f t="shared" si="16"/>
        <v>298.70999999999998</v>
      </c>
      <c r="M300" s="6"/>
      <c r="R300" s="7"/>
      <c r="S300" s="7"/>
    </row>
    <row r="301" spans="1:19" ht="14" x14ac:dyDescent="0.15">
      <c r="A301" s="21">
        <v>297</v>
      </c>
      <c r="B301" s="9" t="s">
        <v>320</v>
      </c>
      <c r="C301" s="9" t="s">
        <v>23</v>
      </c>
      <c r="D301" s="10">
        <v>299.58</v>
      </c>
      <c r="E301" s="10">
        <v>299.58</v>
      </c>
      <c r="F301" s="10">
        <v>1.9</v>
      </c>
      <c r="G301" s="22">
        <f t="shared" si="17"/>
        <v>91.664219999999986</v>
      </c>
      <c r="H301" s="21" t="s">
        <v>246</v>
      </c>
      <c r="I301" s="9"/>
      <c r="K301"/>
      <c r="L301" s="7">
        <f t="shared" si="16"/>
        <v>299.58</v>
      </c>
      <c r="M301" s="6"/>
      <c r="R301" s="7"/>
      <c r="S301" s="7"/>
    </row>
    <row r="302" spans="1:19" ht="14" x14ac:dyDescent="0.15">
      <c r="A302" s="21">
        <v>298</v>
      </c>
      <c r="B302" s="9" t="s">
        <v>321</v>
      </c>
      <c r="C302" s="9" t="s">
        <v>23</v>
      </c>
      <c r="D302" s="10">
        <v>326.85000000000002</v>
      </c>
      <c r="E302" s="10">
        <v>326.85000000000002</v>
      </c>
      <c r="F302" s="10">
        <v>1.77</v>
      </c>
      <c r="G302" s="22">
        <f t="shared" si="17"/>
        <v>91.991069999999979</v>
      </c>
      <c r="H302" s="21" t="s">
        <v>246</v>
      </c>
      <c r="I302" s="9"/>
      <c r="K302"/>
      <c r="L302" s="7">
        <f t="shared" si="16"/>
        <v>326.85000000000002</v>
      </c>
      <c r="M302" s="6"/>
      <c r="R302" s="7"/>
      <c r="S302" s="7"/>
    </row>
    <row r="303" spans="1:19" ht="14" x14ac:dyDescent="0.15">
      <c r="A303" s="21">
        <v>299</v>
      </c>
      <c r="B303" s="9" t="s">
        <v>322</v>
      </c>
      <c r="C303" s="9" t="s">
        <v>23</v>
      </c>
      <c r="D303" s="10">
        <v>307.17</v>
      </c>
      <c r="E303" s="10">
        <v>307.17</v>
      </c>
      <c r="F303" s="10">
        <v>0.27</v>
      </c>
      <c r="G303" s="22">
        <f t="shared" si="17"/>
        <v>92.298239999999979</v>
      </c>
      <c r="H303" s="21" t="s">
        <v>246</v>
      </c>
      <c r="I303" s="9"/>
      <c r="K303"/>
      <c r="L303" s="7">
        <f t="shared" si="16"/>
        <v>307.17</v>
      </c>
      <c r="M303" s="6"/>
      <c r="R303" s="7"/>
      <c r="S303" s="7"/>
    </row>
    <row r="304" spans="1:19" ht="14" x14ac:dyDescent="0.15">
      <c r="A304" s="21">
        <v>300</v>
      </c>
      <c r="B304" s="9" t="s">
        <v>323</v>
      </c>
      <c r="C304" s="9" t="s">
        <v>23</v>
      </c>
      <c r="D304" s="10">
        <v>321.25</v>
      </c>
      <c r="E304" s="10">
        <v>321.25</v>
      </c>
      <c r="F304" s="10">
        <v>0.06</v>
      </c>
      <c r="G304" s="22">
        <f t="shared" si="17"/>
        <v>92.619489999999985</v>
      </c>
      <c r="H304" s="21" t="s">
        <v>246</v>
      </c>
      <c r="I304" s="9"/>
      <c r="K304"/>
      <c r="L304" s="7">
        <f t="shared" si="16"/>
        <v>321.25</v>
      </c>
      <c r="M304" s="6"/>
      <c r="R304" s="7"/>
      <c r="S304" s="7"/>
    </row>
    <row r="305" spans="1:19" ht="14" x14ac:dyDescent="0.15">
      <c r="A305" s="21">
        <v>301</v>
      </c>
      <c r="B305" s="9" t="s">
        <v>324</v>
      </c>
      <c r="C305" s="9" t="s">
        <v>23</v>
      </c>
      <c r="D305" s="10">
        <v>321.10000000000002</v>
      </c>
      <c r="E305" s="10">
        <v>321.10000000000002</v>
      </c>
      <c r="F305" s="10">
        <v>0.34</v>
      </c>
      <c r="G305" s="22">
        <f t="shared" si="17"/>
        <v>92.940589999999986</v>
      </c>
      <c r="H305" s="21" t="s">
        <v>246</v>
      </c>
      <c r="I305" s="9"/>
      <c r="K305"/>
      <c r="L305" s="7">
        <f t="shared" si="16"/>
        <v>321.10000000000002</v>
      </c>
      <c r="M305" s="6"/>
      <c r="R305" s="7"/>
      <c r="S305" s="7"/>
    </row>
    <row r="306" spans="1:19" ht="14" x14ac:dyDescent="0.15">
      <c r="A306" s="21">
        <v>302</v>
      </c>
      <c r="B306" s="9" t="s">
        <v>325</v>
      </c>
      <c r="C306" s="9" t="s">
        <v>23</v>
      </c>
      <c r="D306" s="10">
        <v>355.17</v>
      </c>
      <c r="E306" s="10">
        <v>355.17</v>
      </c>
      <c r="F306" s="10">
        <v>1.4</v>
      </c>
      <c r="G306" s="22">
        <f t="shared" si="17"/>
        <v>93.295759999999987</v>
      </c>
      <c r="H306" s="21" t="s">
        <v>246</v>
      </c>
      <c r="I306" s="9"/>
      <c r="K306"/>
      <c r="L306" s="7">
        <f t="shared" si="16"/>
        <v>355.17</v>
      </c>
      <c r="M306" s="6"/>
      <c r="R306" s="7"/>
      <c r="S306" s="7"/>
    </row>
    <row r="307" spans="1:19" ht="14" x14ac:dyDescent="0.15">
      <c r="A307" s="21">
        <v>303</v>
      </c>
      <c r="B307" s="9" t="s">
        <v>326</v>
      </c>
      <c r="C307" s="9" t="s">
        <v>23</v>
      </c>
      <c r="D307" s="10">
        <v>328.21</v>
      </c>
      <c r="E307" s="10">
        <v>328.21</v>
      </c>
      <c r="F307" s="10">
        <v>0.42</v>
      </c>
      <c r="G307" s="22">
        <f t="shared" si="17"/>
        <v>93.623969999999986</v>
      </c>
      <c r="H307" s="21" t="s">
        <v>246</v>
      </c>
      <c r="I307" s="9"/>
      <c r="K307"/>
      <c r="L307" s="7">
        <f t="shared" si="16"/>
        <v>328.21</v>
      </c>
      <c r="M307" s="6"/>
      <c r="R307" s="7"/>
      <c r="S307" s="7"/>
    </row>
    <row r="308" spans="1:19" ht="14" x14ac:dyDescent="0.15">
      <c r="A308" s="21">
        <v>304</v>
      </c>
      <c r="B308" s="9" t="s">
        <v>327</v>
      </c>
      <c r="C308" s="9" t="s">
        <v>28</v>
      </c>
      <c r="D308" s="10">
        <v>347.63</v>
      </c>
      <c r="E308" s="10">
        <v>356.13</v>
      </c>
      <c r="F308" s="10">
        <v>27.6</v>
      </c>
      <c r="G308" s="22">
        <f t="shared" si="17"/>
        <v>93.980099999999979</v>
      </c>
      <c r="H308" s="21" t="s">
        <v>246</v>
      </c>
      <c r="I308" s="9"/>
      <c r="K308" s="7">
        <f>D308+8.5</f>
        <v>356.13</v>
      </c>
      <c r="L308" s="7">
        <f t="shared" si="16"/>
        <v>356.13</v>
      </c>
      <c r="M308" s="6"/>
      <c r="R308" s="7"/>
      <c r="S308" s="7"/>
    </row>
    <row r="309" spans="1:19" ht="14" x14ac:dyDescent="0.15">
      <c r="A309" s="21">
        <v>305</v>
      </c>
      <c r="B309" s="9" t="s">
        <v>328</v>
      </c>
      <c r="C309" s="9" t="s">
        <v>16</v>
      </c>
      <c r="D309" s="10">
        <v>231.51</v>
      </c>
      <c r="E309" s="10">
        <v>231.51</v>
      </c>
      <c r="F309" s="10">
        <v>9.69</v>
      </c>
      <c r="G309" s="22">
        <f t="shared" si="17"/>
        <v>94.211609999999979</v>
      </c>
      <c r="H309" s="21" t="s">
        <v>246</v>
      </c>
      <c r="I309" s="9"/>
      <c r="K309"/>
      <c r="L309" s="7">
        <f t="shared" si="16"/>
        <v>231.51</v>
      </c>
      <c r="M309" s="6"/>
      <c r="R309" s="7"/>
      <c r="S309" s="7"/>
    </row>
    <row r="310" spans="1:19" ht="14" x14ac:dyDescent="0.15">
      <c r="A310" s="21">
        <v>306</v>
      </c>
      <c r="B310" s="9" t="s">
        <v>329</v>
      </c>
      <c r="C310" s="9" t="s">
        <v>23</v>
      </c>
      <c r="D310" s="10">
        <v>344.98</v>
      </c>
      <c r="E310" s="10">
        <v>344.98</v>
      </c>
      <c r="F310" s="10">
        <v>0.15</v>
      </c>
      <c r="G310" s="22">
        <f t="shared" si="17"/>
        <v>94.556589999999986</v>
      </c>
      <c r="H310" s="21" t="s">
        <v>246</v>
      </c>
      <c r="I310" s="9"/>
      <c r="K310"/>
      <c r="L310" s="7">
        <f t="shared" si="16"/>
        <v>344.98</v>
      </c>
      <c r="M310" s="6"/>
      <c r="R310" s="7"/>
      <c r="S310" s="7"/>
    </row>
    <row r="311" spans="1:19" ht="14" x14ac:dyDescent="0.15">
      <c r="A311" s="21">
        <v>307</v>
      </c>
      <c r="B311" s="9" t="s">
        <v>330</v>
      </c>
      <c r="C311" s="9" t="s">
        <v>23</v>
      </c>
      <c r="D311" s="10">
        <v>349.21</v>
      </c>
      <c r="E311" s="10">
        <v>349.21</v>
      </c>
      <c r="F311" s="10">
        <v>0.71</v>
      </c>
      <c r="G311" s="22">
        <f t="shared" si="17"/>
        <v>94.905799999999985</v>
      </c>
      <c r="H311" s="21" t="s">
        <v>246</v>
      </c>
      <c r="I311" s="9"/>
      <c r="K311"/>
      <c r="L311" s="7">
        <f t="shared" si="16"/>
        <v>349.21</v>
      </c>
      <c r="M311" s="6"/>
      <c r="R311" s="7"/>
      <c r="S311" s="7"/>
    </row>
    <row r="312" spans="1:19" ht="14" x14ac:dyDescent="0.15">
      <c r="A312" s="21">
        <v>308</v>
      </c>
      <c r="B312" s="9" t="s">
        <v>331</v>
      </c>
      <c r="C312" s="9" t="s">
        <v>23</v>
      </c>
      <c r="D312" s="10">
        <v>357.87</v>
      </c>
      <c r="E312" s="10">
        <v>357.87</v>
      </c>
      <c r="F312" s="10">
        <v>7.0000000000000007E-2</v>
      </c>
      <c r="G312" s="22">
        <f t="shared" si="17"/>
        <v>95.263669999999991</v>
      </c>
      <c r="H312" s="21" t="s">
        <v>246</v>
      </c>
      <c r="I312" s="9"/>
      <c r="K312"/>
      <c r="L312" s="7">
        <f t="shared" si="16"/>
        <v>357.87</v>
      </c>
      <c r="M312" s="6"/>
      <c r="R312" s="7"/>
      <c r="S312" s="7"/>
    </row>
    <row r="313" spans="1:19" ht="14" x14ac:dyDescent="0.15">
      <c r="A313" s="21">
        <v>309</v>
      </c>
      <c r="B313" s="9" t="s">
        <v>332</v>
      </c>
      <c r="C313" s="9" t="s">
        <v>19</v>
      </c>
      <c r="D313" s="10">
        <v>311.14999999999998</v>
      </c>
      <c r="E313" s="10">
        <v>319.64999999999998</v>
      </c>
      <c r="F313" s="10">
        <v>42.14</v>
      </c>
      <c r="G313" s="22">
        <f t="shared" si="17"/>
        <v>95.583319999999986</v>
      </c>
      <c r="H313" s="21" t="s">
        <v>246</v>
      </c>
      <c r="I313" s="9"/>
      <c r="K313" s="7">
        <f>D313+8.5</f>
        <v>319.64999999999998</v>
      </c>
      <c r="L313" s="7">
        <f t="shared" si="16"/>
        <v>319.64999999999998</v>
      </c>
      <c r="M313" s="6"/>
      <c r="R313" s="7"/>
      <c r="S313" s="7"/>
    </row>
    <row r="314" spans="1:19" ht="14" x14ac:dyDescent="0.15">
      <c r="A314" s="21">
        <v>310</v>
      </c>
      <c r="B314" s="9" t="s">
        <v>333</v>
      </c>
      <c r="C314" s="9" t="s">
        <v>23</v>
      </c>
      <c r="D314" s="10">
        <v>298.14</v>
      </c>
      <c r="E314" s="10">
        <v>298.14</v>
      </c>
      <c r="F314" s="10">
        <v>0.63</v>
      </c>
      <c r="G314" s="22">
        <f t="shared" si="17"/>
        <v>95.88145999999999</v>
      </c>
      <c r="H314" s="21" t="s">
        <v>246</v>
      </c>
      <c r="I314" s="9"/>
      <c r="K314"/>
      <c r="L314" s="7">
        <f t="shared" si="16"/>
        <v>298.14</v>
      </c>
      <c r="M314" s="6"/>
      <c r="R314" s="7"/>
      <c r="S314" s="7"/>
    </row>
    <row r="315" spans="1:19" ht="14" x14ac:dyDescent="0.15">
      <c r="A315" s="21">
        <v>311</v>
      </c>
      <c r="B315" s="9" t="s">
        <v>334</v>
      </c>
      <c r="C315" s="9" t="s">
        <v>23</v>
      </c>
      <c r="D315" s="10">
        <v>301.08999999999997</v>
      </c>
      <c r="E315" s="10">
        <v>301.08999999999997</v>
      </c>
      <c r="F315" s="10">
        <v>1.22</v>
      </c>
      <c r="G315" s="22">
        <f t="shared" si="17"/>
        <v>96.182549999999992</v>
      </c>
      <c r="H315" s="21" t="s">
        <v>246</v>
      </c>
      <c r="I315" s="9"/>
      <c r="K315"/>
      <c r="L315" s="7">
        <f t="shared" si="16"/>
        <v>301.08999999999997</v>
      </c>
      <c r="M315" s="6"/>
      <c r="R315" s="7"/>
      <c r="S315" s="7"/>
    </row>
    <row r="316" spans="1:19" ht="14" x14ac:dyDescent="0.15">
      <c r="A316" s="21">
        <v>312</v>
      </c>
      <c r="B316" s="9" t="s">
        <v>335</v>
      </c>
      <c r="C316" s="9" t="s">
        <v>23</v>
      </c>
      <c r="D316" s="10">
        <v>263.99</v>
      </c>
      <c r="E316" s="10">
        <v>263.99</v>
      </c>
      <c r="F316" s="10">
        <v>1.54</v>
      </c>
      <c r="G316" s="22">
        <f t="shared" si="17"/>
        <v>96.446539999999999</v>
      </c>
      <c r="H316" s="21" t="s">
        <v>246</v>
      </c>
      <c r="I316" s="9"/>
      <c r="K316"/>
      <c r="L316" s="7">
        <f t="shared" si="16"/>
        <v>263.99</v>
      </c>
      <c r="M316" s="6"/>
      <c r="R316" s="7"/>
      <c r="S316" s="7"/>
    </row>
    <row r="317" spans="1:19" ht="14" x14ac:dyDescent="0.15">
      <c r="A317" s="21">
        <v>313</v>
      </c>
      <c r="B317" s="9" t="s">
        <v>336</v>
      </c>
      <c r="C317" s="9" t="s">
        <v>23</v>
      </c>
      <c r="D317" s="10">
        <v>328.2</v>
      </c>
      <c r="E317" s="10">
        <v>328.2</v>
      </c>
      <c r="F317" s="10">
        <v>0.24</v>
      </c>
      <c r="G317" s="22">
        <f t="shared" si="17"/>
        <v>96.774739999999994</v>
      </c>
      <c r="H317" s="21" t="s">
        <v>246</v>
      </c>
      <c r="I317" s="9"/>
      <c r="K317"/>
      <c r="L317" s="7">
        <f t="shared" si="16"/>
        <v>328.2</v>
      </c>
      <c r="M317" s="6"/>
      <c r="R317" s="7"/>
      <c r="S317" s="7"/>
    </row>
    <row r="318" spans="1:19" ht="14" x14ac:dyDescent="0.15">
      <c r="A318" s="21">
        <v>314</v>
      </c>
      <c r="B318" s="9" t="s">
        <v>337</v>
      </c>
      <c r="C318" s="9" t="s">
        <v>19</v>
      </c>
      <c r="D318" s="10">
        <v>322.07</v>
      </c>
      <c r="E318" s="10">
        <v>330.57</v>
      </c>
      <c r="F318" s="10">
        <v>34.4</v>
      </c>
      <c r="G318" s="22">
        <f t="shared" si="17"/>
        <v>97.105309999999989</v>
      </c>
      <c r="H318" s="21" t="s">
        <v>246</v>
      </c>
      <c r="I318" s="9"/>
      <c r="K318" s="7">
        <f>D318+8.5</f>
        <v>330.57</v>
      </c>
      <c r="L318" s="7">
        <f t="shared" si="16"/>
        <v>330.57</v>
      </c>
      <c r="M318" s="6"/>
      <c r="R318" s="7"/>
      <c r="S318" s="7"/>
    </row>
    <row r="319" spans="1:19" ht="14" x14ac:dyDescent="0.15">
      <c r="A319" s="21">
        <v>315</v>
      </c>
      <c r="B319" s="9" t="s">
        <v>338</v>
      </c>
      <c r="C319" s="9" t="s">
        <v>23</v>
      </c>
      <c r="D319" s="10">
        <v>317.33999999999997</v>
      </c>
      <c r="E319" s="10">
        <v>317.33999999999997</v>
      </c>
      <c r="F319" s="10">
        <v>3.05</v>
      </c>
      <c r="G319" s="22">
        <f t="shared" si="17"/>
        <v>97.42264999999999</v>
      </c>
      <c r="H319" s="21" t="s">
        <v>246</v>
      </c>
      <c r="I319" s="9"/>
      <c r="K319"/>
      <c r="L319" s="7">
        <f t="shared" si="16"/>
        <v>317.33999999999997</v>
      </c>
      <c r="M319" s="6"/>
      <c r="R319" s="7"/>
      <c r="S319" s="7"/>
    </row>
    <row r="320" spans="1:19" ht="14" x14ac:dyDescent="0.15">
      <c r="A320" s="21">
        <v>316</v>
      </c>
      <c r="B320" s="9" t="s">
        <v>339</v>
      </c>
      <c r="C320" s="9" t="s">
        <v>16</v>
      </c>
      <c r="D320" s="10">
        <v>307.69</v>
      </c>
      <c r="E320" s="10">
        <v>307.69</v>
      </c>
      <c r="F320" s="10">
        <v>5.89</v>
      </c>
      <c r="G320" s="22">
        <f t="shared" si="17"/>
        <v>97.730339999999984</v>
      </c>
      <c r="H320" s="21" t="s">
        <v>246</v>
      </c>
      <c r="I320" s="9"/>
      <c r="K320"/>
      <c r="L320" s="7">
        <f t="shared" si="16"/>
        <v>307.69</v>
      </c>
      <c r="M320" s="6"/>
      <c r="R320" s="7"/>
      <c r="S320" s="7"/>
    </row>
    <row r="321" spans="1:19" ht="14" x14ac:dyDescent="0.15">
      <c r="A321" s="21">
        <v>317</v>
      </c>
      <c r="B321" s="9" t="s">
        <v>340</v>
      </c>
      <c r="C321" s="9" t="s">
        <v>23</v>
      </c>
      <c r="D321" s="10">
        <v>352.26</v>
      </c>
      <c r="E321" s="10">
        <v>352.26</v>
      </c>
      <c r="F321" s="10">
        <v>0.08</v>
      </c>
      <c r="G321" s="22">
        <f t="shared" si="17"/>
        <v>98.082599999999985</v>
      </c>
      <c r="H321" s="21" t="s">
        <v>246</v>
      </c>
      <c r="I321" s="9"/>
      <c r="K321"/>
      <c r="L321" s="7">
        <f t="shared" si="16"/>
        <v>352.26</v>
      </c>
      <c r="M321" s="6"/>
      <c r="R321" s="7"/>
      <c r="S321" s="7"/>
    </row>
    <row r="322" spans="1:19" ht="14" x14ac:dyDescent="0.15">
      <c r="A322" s="21">
        <v>318</v>
      </c>
      <c r="B322" s="9" t="s">
        <v>341</v>
      </c>
      <c r="C322" s="9" t="s">
        <v>19</v>
      </c>
      <c r="D322" s="10">
        <v>354.79</v>
      </c>
      <c r="E322" s="10">
        <v>363.29</v>
      </c>
      <c r="F322" s="10">
        <v>54.07</v>
      </c>
      <c r="G322" s="22">
        <f t="shared" si="17"/>
        <v>98.445889999999991</v>
      </c>
      <c r="H322" s="21" t="s">
        <v>246</v>
      </c>
      <c r="I322" s="9"/>
      <c r="K322" s="7">
        <f>D322+8.5</f>
        <v>363.29</v>
      </c>
      <c r="L322" s="7">
        <f t="shared" si="16"/>
        <v>363.29</v>
      </c>
      <c r="M322" s="6"/>
      <c r="R322" s="7"/>
      <c r="S322" s="7"/>
    </row>
    <row r="323" spans="1:19" ht="14" x14ac:dyDescent="0.15">
      <c r="A323" s="21">
        <v>319</v>
      </c>
      <c r="B323" s="9" t="s">
        <v>342</v>
      </c>
      <c r="C323" s="9" t="s">
        <v>23</v>
      </c>
      <c r="D323" s="10">
        <v>309.64999999999998</v>
      </c>
      <c r="E323" s="10">
        <v>309.64999999999998</v>
      </c>
      <c r="F323" s="10">
        <v>7.0000000000000007E-2</v>
      </c>
      <c r="G323" s="22">
        <f t="shared" si="17"/>
        <v>98.755539999999996</v>
      </c>
      <c r="H323" s="21" t="s">
        <v>246</v>
      </c>
      <c r="I323" s="9"/>
      <c r="K323"/>
      <c r="L323" s="7">
        <f t="shared" ref="L323:L386" si="21">IF(K323&lt;&gt;"",K323,D323)</f>
        <v>309.64999999999998</v>
      </c>
      <c r="M323" s="6"/>
      <c r="R323" s="7"/>
      <c r="S323" s="7"/>
    </row>
    <row r="324" spans="1:19" ht="14" x14ac:dyDescent="0.15">
      <c r="A324" s="21">
        <v>320</v>
      </c>
      <c r="B324" s="9" t="s">
        <v>343</v>
      </c>
      <c r="C324" s="9" t="s">
        <v>23</v>
      </c>
      <c r="D324" s="10">
        <v>351.26</v>
      </c>
      <c r="E324" s="10">
        <v>351.26</v>
      </c>
      <c r="F324" s="10">
        <v>0.04</v>
      </c>
      <c r="G324" s="22">
        <f t="shared" ref="G324:G387" si="22">E324/1000+G323</f>
        <v>99.106799999999993</v>
      </c>
      <c r="H324" s="21" t="s">
        <v>246</v>
      </c>
      <c r="I324" s="9"/>
      <c r="K324"/>
      <c r="L324" s="7">
        <f t="shared" si="21"/>
        <v>351.26</v>
      </c>
      <c r="M324" s="6"/>
      <c r="R324" s="7"/>
      <c r="S324" s="7"/>
    </row>
    <row r="325" spans="1:19" ht="14" x14ac:dyDescent="0.15">
      <c r="A325" s="21">
        <v>321</v>
      </c>
      <c r="B325" s="9" t="s">
        <v>344</v>
      </c>
      <c r="C325" s="9" t="s">
        <v>23</v>
      </c>
      <c r="D325" s="10">
        <v>316.45</v>
      </c>
      <c r="E325" s="10">
        <v>316.45</v>
      </c>
      <c r="F325" s="10">
        <v>0.24</v>
      </c>
      <c r="G325" s="22">
        <f t="shared" si="22"/>
        <v>99.423249999999996</v>
      </c>
      <c r="H325" s="21" t="s">
        <v>246</v>
      </c>
      <c r="I325" s="9"/>
      <c r="K325"/>
      <c r="L325" s="7">
        <f t="shared" si="21"/>
        <v>316.45</v>
      </c>
      <c r="M325" s="6"/>
      <c r="R325" s="7"/>
      <c r="S325" s="7"/>
    </row>
    <row r="326" spans="1:19" ht="14" x14ac:dyDescent="0.15">
      <c r="A326" s="21">
        <v>322</v>
      </c>
      <c r="B326" s="9" t="s">
        <v>345</v>
      </c>
      <c r="C326" s="9" t="s">
        <v>16</v>
      </c>
      <c r="D326" s="10">
        <v>284.39</v>
      </c>
      <c r="E326" s="10">
        <v>284.39</v>
      </c>
      <c r="F326" s="10">
        <v>8.64</v>
      </c>
      <c r="G326" s="22">
        <f t="shared" si="22"/>
        <v>99.707639999999998</v>
      </c>
      <c r="H326" s="21" t="s">
        <v>246</v>
      </c>
      <c r="I326" s="9"/>
      <c r="K326"/>
      <c r="L326" s="7">
        <f t="shared" si="21"/>
        <v>284.39</v>
      </c>
      <c r="M326" s="6"/>
      <c r="R326" s="7"/>
      <c r="S326" s="7"/>
    </row>
    <row r="327" spans="1:19" ht="14" x14ac:dyDescent="0.15">
      <c r="A327" s="21">
        <v>323</v>
      </c>
      <c r="B327" s="9" t="s">
        <v>346</v>
      </c>
      <c r="C327" s="9" t="s">
        <v>28</v>
      </c>
      <c r="D327" s="10">
        <v>266</v>
      </c>
      <c r="E327" s="10">
        <v>274.5</v>
      </c>
      <c r="F327" s="10">
        <v>20.38</v>
      </c>
      <c r="G327" s="22">
        <f t="shared" si="22"/>
        <v>99.982140000000001</v>
      </c>
      <c r="H327" s="21" t="s">
        <v>246</v>
      </c>
      <c r="I327" s="9"/>
      <c r="K327" s="7">
        <f>D327+8.5</f>
        <v>274.5</v>
      </c>
      <c r="L327" s="7">
        <f t="shared" si="21"/>
        <v>274.5</v>
      </c>
      <c r="M327" s="6"/>
      <c r="R327" s="7"/>
      <c r="S327" s="7"/>
    </row>
    <row r="328" spans="1:19" ht="14" x14ac:dyDescent="0.15">
      <c r="A328" s="21">
        <v>324</v>
      </c>
      <c r="B328" s="9" t="s">
        <v>347</v>
      </c>
      <c r="C328" s="9" t="s">
        <v>23</v>
      </c>
      <c r="D328" s="10">
        <v>276.70999999999998</v>
      </c>
      <c r="E328" s="10">
        <v>276.70999999999998</v>
      </c>
      <c r="F328" s="10">
        <v>2.23</v>
      </c>
      <c r="G328" s="22">
        <f t="shared" si="22"/>
        <v>100.25885</v>
      </c>
      <c r="H328" s="21" t="s">
        <v>246</v>
      </c>
      <c r="I328" s="9"/>
      <c r="K328"/>
      <c r="L328" s="7">
        <f t="shared" si="21"/>
        <v>276.70999999999998</v>
      </c>
      <c r="M328" s="6"/>
      <c r="R328" s="7"/>
      <c r="S328" s="7"/>
    </row>
    <row r="329" spans="1:19" ht="14" x14ac:dyDescent="0.15">
      <c r="A329" s="21">
        <v>325</v>
      </c>
      <c r="B329" s="9" t="s">
        <v>348</v>
      </c>
      <c r="C329" s="9" t="s">
        <v>23</v>
      </c>
      <c r="D329" s="10">
        <v>278.97000000000003</v>
      </c>
      <c r="E329" s="10">
        <v>278.97000000000003</v>
      </c>
      <c r="F329" s="10">
        <v>0.69</v>
      </c>
      <c r="G329" s="22">
        <f t="shared" si="22"/>
        <v>100.53782</v>
      </c>
      <c r="H329" s="21" t="s">
        <v>246</v>
      </c>
      <c r="I329" s="9"/>
      <c r="K329"/>
      <c r="L329" s="7">
        <f t="shared" si="21"/>
        <v>278.97000000000003</v>
      </c>
      <c r="M329" s="6"/>
      <c r="R329" s="7"/>
      <c r="S329" s="7"/>
    </row>
    <row r="330" spans="1:19" ht="14" x14ac:dyDescent="0.15">
      <c r="A330" s="21">
        <v>326</v>
      </c>
      <c r="B330" s="9" t="s">
        <v>349</v>
      </c>
      <c r="C330" s="9" t="s">
        <v>19</v>
      </c>
      <c r="D330" s="10">
        <v>301.86</v>
      </c>
      <c r="E330" s="10">
        <v>310.36</v>
      </c>
      <c r="F330" s="10">
        <v>40.67</v>
      </c>
      <c r="G330" s="22">
        <f t="shared" si="22"/>
        <v>100.84818</v>
      </c>
      <c r="H330" s="21" t="s">
        <v>246</v>
      </c>
      <c r="I330" s="9"/>
      <c r="K330" s="7">
        <f>D330+8.5</f>
        <v>310.36</v>
      </c>
      <c r="L330" s="7">
        <f t="shared" si="21"/>
        <v>310.36</v>
      </c>
      <c r="M330" s="6"/>
      <c r="R330" s="7"/>
      <c r="S330" s="7"/>
    </row>
    <row r="331" spans="1:19" ht="14" x14ac:dyDescent="0.15">
      <c r="A331" s="21">
        <v>327</v>
      </c>
      <c r="B331" s="9" t="s">
        <v>350</v>
      </c>
      <c r="C331" s="9" t="s">
        <v>23</v>
      </c>
      <c r="D331" s="10">
        <v>277.89999999999998</v>
      </c>
      <c r="E331" s="10">
        <v>277.89999999999998</v>
      </c>
      <c r="F331" s="10">
        <v>0.22</v>
      </c>
      <c r="G331" s="22">
        <f t="shared" si="22"/>
        <v>101.12608</v>
      </c>
      <c r="H331" s="21" t="s">
        <v>246</v>
      </c>
      <c r="I331" s="9"/>
      <c r="K331"/>
      <c r="L331" s="7">
        <f t="shared" si="21"/>
        <v>277.89999999999998</v>
      </c>
      <c r="M331" s="6"/>
      <c r="R331" s="7"/>
      <c r="S331" s="7"/>
    </row>
    <row r="332" spans="1:19" ht="14" x14ac:dyDescent="0.15">
      <c r="A332" s="21">
        <v>328</v>
      </c>
      <c r="B332" s="9" t="s">
        <v>351</v>
      </c>
      <c r="C332" s="9" t="s">
        <v>23</v>
      </c>
      <c r="D332" s="10">
        <v>341.9</v>
      </c>
      <c r="E332" s="10">
        <v>341.9</v>
      </c>
      <c r="F332" s="10">
        <v>0.03</v>
      </c>
      <c r="G332" s="22">
        <f t="shared" si="22"/>
        <v>101.46798</v>
      </c>
      <c r="H332" s="21" t="s">
        <v>246</v>
      </c>
      <c r="I332" s="9"/>
      <c r="K332"/>
      <c r="L332" s="7">
        <f t="shared" si="21"/>
        <v>341.9</v>
      </c>
      <c r="M332" s="6"/>
      <c r="R332" s="7"/>
      <c r="S332" s="7"/>
    </row>
    <row r="333" spans="1:19" ht="14" x14ac:dyDescent="0.15">
      <c r="A333" s="21">
        <v>329</v>
      </c>
      <c r="B333" s="9" t="s">
        <v>352</v>
      </c>
      <c r="C333" s="9" t="s">
        <v>23</v>
      </c>
      <c r="D333" s="10">
        <v>324.19</v>
      </c>
      <c r="E333" s="10">
        <v>324.19</v>
      </c>
      <c r="F333" s="10">
        <v>0.17</v>
      </c>
      <c r="G333" s="22">
        <f t="shared" si="22"/>
        <v>101.79217</v>
      </c>
      <c r="H333" s="21" t="s">
        <v>246</v>
      </c>
      <c r="I333" s="9"/>
      <c r="K333"/>
      <c r="L333" s="7">
        <f t="shared" si="21"/>
        <v>324.19</v>
      </c>
      <c r="M333" s="6"/>
      <c r="R333" s="7"/>
      <c r="S333" s="7"/>
    </row>
    <row r="334" spans="1:19" ht="14" x14ac:dyDescent="0.15">
      <c r="A334" s="21">
        <v>330</v>
      </c>
      <c r="B334" s="9" t="s">
        <v>353</v>
      </c>
      <c r="C334" s="9" t="s">
        <v>23</v>
      </c>
      <c r="D334" s="10">
        <v>271.10000000000002</v>
      </c>
      <c r="E334" s="10">
        <v>271.10000000000002</v>
      </c>
      <c r="F334" s="10">
        <v>0.46</v>
      </c>
      <c r="G334" s="22">
        <f t="shared" si="22"/>
        <v>102.06327</v>
      </c>
      <c r="H334" s="21" t="s">
        <v>246</v>
      </c>
      <c r="I334" s="9"/>
      <c r="K334"/>
      <c r="L334" s="7">
        <f t="shared" si="21"/>
        <v>271.10000000000002</v>
      </c>
      <c r="M334" s="6"/>
      <c r="R334" s="7"/>
      <c r="S334" s="7"/>
    </row>
    <row r="335" spans="1:19" ht="14" x14ac:dyDescent="0.15">
      <c r="A335" s="21">
        <v>331</v>
      </c>
      <c r="B335" s="9" t="s">
        <v>354</v>
      </c>
      <c r="C335" s="9" t="s">
        <v>16</v>
      </c>
      <c r="D335" s="10">
        <v>352.08</v>
      </c>
      <c r="E335" s="10">
        <v>352.08</v>
      </c>
      <c r="F335" s="10">
        <v>9.09</v>
      </c>
      <c r="G335" s="22">
        <f t="shared" si="22"/>
        <v>102.41535</v>
      </c>
      <c r="H335" s="21" t="s">
        <v>246</v>
      </c>
      <c r="I335" s="9"/>
      <c r="K335"/>
      <c r="L335" s="7">
        <f t="shared" si="21"/>
        <v>352.08</v>
      </c>
      <c r="M335" s="6"/>
      <c r="R335" s="7"/>
      <c r="S335" s="7"/>
    </row>
    <row r="336" spans="1:19" ht="14" x14ac:dyDescent="0.15">
      <c r="A336" s="21">
        <v>332</v>
      </c>
      <c r="B336" s="9" t="s">
        <v>355</v>
      </c>
      <c r="C336" s="9" t="s">
        <v>23</v>
      </c>
      <c r="D336" s="10">
        <v>328.9</v>
      </c>
      <c r="E336" s="10">
        <v>328.9</v>
      </c>
      <c r="F336" s="10">
        <v>1.28</v>
      </c>
      <c r="G336" s="22">
        <f t="shared" si="22"/>
        <v>102.74425000000001</v>
      </c>
      <c r="H336" s="21" t="s">
        <v>246</v>
      </c>
      <c r="I336" s="9"/>
      <c r="K336"/>
      <c r="L336" s="7">
        <f t="shared" si="21"/>
        <v>328.9</v>
      </c>
      <c r="M336" s="6"/>
      <c r="R336" s="7"/>
      <c r="S336" s="7"/>
    </row>
    <row r="337" spans="1:19" ht="14" x14ac:dyDescent="0.15">
      <c r="A337" s="21">
        <v>333</v>
      </c>
      <c r="B337" s="9" t="s">
        <v>356</v>
      </c>
      <c r="C337" s="9" t="s">
        <v>23</v>
      </c>
      <c r="D337" s="10">
        <v>363.54</v>
      </c>
      <c r="E337" s="10">
        <v>363.54</v>
      </c>
      <c r="F337" s="10">
        <v>0.49</v>
      </c>
      <c r="G337" s="22">
        <f t="shared" si="22"/>
        <v>103.10779000000001</v>
      </c>
      <c r="H337" s="21" t="s">
        <v>246</v>
      </c>
      <c r="I337" s="9"/>
      <c r="K337"/>
      <c r="L337" s="7">
        <f t="shared" si="21"/>
        <v>363.54</v>
      </c>
      <c r="M337" s="6"/>
      <c r="R337" s="7"/>
      <c r="S337" s="7"/>
    </row>
    <row r="338" spans="1:19" ht="14" x14ac:dyDescent="0.15">
      <c r="A338" s="21">
        <v>334</v>
      </c>
      <c r="B338" s="9" t="s">
        <v>357</v>
      </c>
      <c r="C338" s="9" t="s">
        <v>28</v>
      </c>
      <c r="D338" s="10">
        <v>315.36</v>
      </c>
      <c r="E338" s="10">
        <v>323.86</v>
      </c>
      <c r="F338" s="10">
        <v>15.97</v>
      </c>
      <c r="G338" s="22">
        <f t="shared" si="22"/>
        <v>103.43165</v>
      </c>
      <c r="H338" s="21" t="s">
        <v>246</v>
      </c>
      <c r="I338" s="9"/>
      <c r="K338" s="7">
        <f>D338+8.5</f>
        <v>323.86</v>
      </c>
      <c r="L338" s="7">
        <f t="shared" si="21"/>
        <v>323.86</v>
      </c>
      <c r="M338" s="6"/>
      <c r="R338" s="7"/>
      <c r="S338" s="7"/>
    </row>
    <row r="339" spans="1:19" ht="14" x14ac:dyDescent="0.15">
      <c r="A339" s="21">
        <v>335</v>
      </c>
      <c r="B339" s="9" t="s">
        <v>358</v>
      </c>
      <c r="C339" s="9" t="s">
        <v>23</v>
      </c>
      <c r="D339" s="10">
        <v>349.86</v>
      </c>
      <c r="E339" s="10">
        <v>349.86</v>
      </c>
      <c r="F339" s="10">
        <v>0.48</v>
      </c>
      <c r="G339" s="22">
        <f t="shared" si="22"/>
        <v>103.78151000000001</v>
      </c>
      <c r="H339" s="21" t="s">
        <v>246</v>
      </c>
      <c r="I339" s="9"/>
      <c r="K339"/>
      <c r="L339" s="7">
        <f t="shared" si="21"/>
        <v>349.86</v>
      </c>
      <c r="M339" s="6"/>
      <c r="R339" s="7"/>
      <c r="S339" s="7"/>
    </row>
    <row r="340" spans="1:19" ht="14" x14ac:dyDescent="0.15">
      <c r="A340" s="21">
        <v>336</v>
      </c>
      <c r="B340" s="9" t="s">
        <v>359</v>
      </c>
      <c r="C340" s="9" t="s">
        <v>23</v>
      </c>
      <c r="D340" s="10">
        <v>335.78</v>
      </c>
      <c r="E340" s="10">
        <v>335.78</v>
      </c>
      <c r="F340" s="10">
        <v>0.03</v>
      </c>
      <c r="G340" s="22">
        <f t="shared" si="22"/>
        <v>104.11729000000001</v>
      </c>
      <c r="H340" s="21" t="s">
        <v>246</v>
      </c>
      <c r="I340" s="9"/>
      <c r="K340"/>
      <c r="L340" s="7">
        <f t="shared" si="21"/>
        <v>335.78</v>
      </c>
      <c r="M340" s="6"/>
      <c r="R340" s="7"/>
      <c r="S340" s="7"/>
    </row>
    <row r="341" spans="1:19" ht="14" x14ac:dyDescent="0.15">
      <c r="A341" s="21">
        <v>337</v>
      </c>
      <c r="B341" s="9" t="s">
        <v>360</v>
      </c>
      <c r="C341" s="9" t="s">
        <v>23</v>
      </c>
      <c r="D341" s="10">
        <v>329.78</v>
      </c>
      <c r="E341" s="10">
        <v>329.78</v>
      </c>
      <c r="F341" s="10">
        <v>0.63</v>
      </c>
      <c r="G341" s="22">
        <f t="shared" si="22"/>
        <v>104.44707000000001</v>
      </c>
      <c r="H341" s="21" t="s">
        <v>246</v>
      </c>
      <c r="I341" s="9"/>
      <c r="K341"/>
      <c r="L341" s="7">
        <f t="shared" si="21"/>
        <v>329.78</v>
      </c>
      <c r="M341" s="6"/>
      <c r="R341" s="7"/>
      <c r="S341" s="7"/>
    </row>
    <row r="342" spans="1:19" ht="14" x14ac:dyDescent="0.15">
      <c r="A342" s="21">
        <v>338</v>
      </c>
      <c r="B342" s="9" t="s">
        <v>361</v>
      </c>
      <c r="C342" s="9" t="s">
        <v>23</v>
      </c>
      <c r="D342" s="10">
        <v>349.52</v>
      </c>
      <c r="E342" s="10">
        <v>349.52</v>
      </c>
      <c r="F342" s="10">
        <v>0.28999999999999998</v>
      </c>
      <c r="G342" s="22">
        <f t="shared" si="22"/>
        <v>104.79659000000001</v>
      </c>
      <c r="H342" s="21" t="s">
        <v>246</v>
      </c>
      <c r="I342" s="9"/>
      <c r="K342"/>
      <c r="L342" s="7">
        <f t="shared" si="21"/>
        <v>349.52</v>
      </c>
      <c r="M342" s="6"/>
      <c r="R342" s="7"/>
      <c r="S342" s="7"/>
    </row>
    <row r="343" spans="1:19" ht="14" x14ac:dyDescent="0.15">
      <c r="A343" s="21">
        <v>339</v>
      </c>
      <c r="B343" s="9" t="s">
        <v>362</v>
      </c>
      <c r="C343" s="9" t="s">
        <v>23</v>
      </c>
      <c r="D343" s="10">
        <v>261.87</v>
      </c>
      <c r="E343" s="10">
        <v>261.87</v>
      </c>
      <c r="F343" s="10">
        <v>0.37</v>
      </c>
      <c r="G343" s="22">
        <f t="shared" si="22"/>
        <v>105.05846000000001</v>
      </c>
      <c r="H343" s="21" t="s">
        <v>246</v>
      </c>
      <c r="I343" s="9"/>
      <c r="K343"/>
      <c r="L343" s="7">
        <f t="shared" si="21"/>
        <v>261.87</v>
      </c>
      <c r="M343" s="6"/>
      <c r="R343" s="7"/>
      <c r="S343" s="7"/>
    </row>
    <row r="344" spans="1:19" ht="14" x14ac:dyDescent="0.15">
      <c r="A344" s="21">
        <v>340</v>
      </c>
      <c r="B344" s="9" t="s">
        <v>363</v>
      </c>
      <c r="C344" s="9" t="s">
        <v>16</v>
      </c>
      <c r="D344" s="10">
        <v>284.08</v>
      </c>
      <c r="E344" s="10">
        <v>284.08</v>
      </c>
      <c r="F344" s="10">
        <v>12.3</v>
      </c>
      <c r="G344" s="22">
        <f t="shared" si="22"/>
        <v>105.34254000000001</v>
      </c>
      <c r="H344" s="21" t="s">
        <v>246</v>
      </c>
      <c r="I344" s="9"/>
      <c r="K344"/>
      <c r="L344" s="7">
        <f t="shared" si="21"/>
        <v>284.08</v>
      </c>
      <c r="M344" s="6"/>
      <c r="R344" s="7"/>
      <c r="S344" s="7"/>
    </row>
    <row r="345" spans="1:19" ht="14" x14ac:dyDescent="0.15">
      <c r="A345" s="21">
        <v>341</v>
      </c>
      <c r="B345" s="9" t="s">
        <v>364</v>
      </c>
      <c r="C345" s="9" t="s">
        <v>23</v>
      </c>
      <c r="D345" s="10">
        <v>301.58999999999997</v>
      </c>
      <c r="E345" s="10">
        <v>301.58999999999997</v>
      </c>
      <c r="F345" s="10">
        <v>1.1100000000000001</v>
      </c>
      <c r="G345" s="22">
        <f t="shared" si="22"/>
        <v>105.64413000000002</v>
      </c>
      <c r="H345" s="21" t="s">
        <v>246</v>
      </c>
      <c r="I345" s="9"/>
      <c r="K345"/>
      <c r="L345" s="7">
        <f t="shared" si="21"/>
        <v>301.58999999999997</v>
      </c>
      <c r="M345" s="6"/>
      <c r="R345" s="7"/>
      <c r="S345" s="7"/>
    </row>
    <row r="346" spans="1:19" ht="14" x14ac:dyDescent="0.15">
      <c r="A346" s="21">
        <v>342</v>
      </c>
      <c r="B346" s="9" t="s">
        <v>365</v>
      </c>
      <c r="C346" s="9" t="s">
        <v>23</v>
      </c>
      <c r="D346" s="10">
        <v>282.11</v>
      </c>
      <c r="E346" s="10">
        <v>282.11</v>
      </c>
      <c r="F346" s="10">
        <v>0.25</v>
      </c>
      <c r="G346" s="22">
        <f t="shared" si="22"/>
        <v>105.92624000000002</v>
      </c>
      <c r="H346" s="21" t="s">
        <v>246</v>
      </c>
      <c r="I346" s="9"/>
      <c r="K346"/>
      <c r="L346" s="7">
        <f t="shared" si="21"/>
        <v>282.11</v>
      </c>
      <c r="M346" s="6"/>
      <c r="R346" s="7"/>
      <c r="S346" s="7"/>
    </row>
    <row r="347" spans="1:19" ht="14" x14ac:dyDescent="0.15">
      <c r="A347" s="21">
        <v>343</v>
      </c>
      <c r="B347" s="9" t="s">
        <v>366</v>
      </c>
      <c r="C347" s="9" t="s">
        <v>23</v>
      </c>
      <c r="D347" s="10">
        <v>327.96</v>
      </c>
      <c r="E347" s="10">
        <v>327.96</v>
      </c>
      <c r="F347" s="10">
        <v>0.11</v>
      </c>
      <c r="G347" s="22">
        <f t="shared" si="22"/>
        <v>106.25420000000003</v>
      </c>
      <c r="H347" s="21" t="s">
        <v>246</v>
      </c>
      <c r="I347" s="9"/>
      <c r="K347"/>
      <c r="L347" s="7">
        <f t="shared" si="21"/>
        <v>327.96</v>
      </c>
      <c r="M347" s="6"/>
      <c r="R347" s="7"/>
      <c r="S347" s="7"/>
    </row>
    <row r="348" spans="1:19" ht="14" x14ac:dyDescent="0.15">
      <c r="A348" s="21">
        <v>344</v>
      </c>
      <c r="B348" s="9" t="s">
        <v>367</v>
      </c>
      <c r="C348" s="9" t="s">
        <v>23</v>
      </c>
      <c r="D348" s="10">
        <v>314.14</v>
      </c>
      <c r="E348" s="10">
        <v>314.14</v>
      </c>
      <c r="F348" s="10">
        <v>0.33</v>
      </c>
      <c r="G348" s="22">
        <f t="shared" si="22"/>
        <v>106.56834000000002</v>
      </c>
      <c r="H348" s="21" t="s">
        <v>246</v>
      </c>
      <c r="I348" s="9"/>
      <c r="K348"/>
      <c r="L348" s="7">
        <f t="shared" si="21"/>
        <v>314.14</v>
      </c>
      <c r="M348" s="6"/>
      <c r="R348" s="7"/>
      <c r="S348" s="7"/>
    </row>
    <row r="349" spans="1:19" ht="14" x14ac:dyDescent="0.15">
      <c r="A349" s="21">
        <v>345</v>
      </c>
      <c r="B349" s="9" t="s">
        <v>368</v>
      </c>
      <c r="C349" s="9" t="s">
        <v>23</v>
      </c>
      <c r="D349" s="10">
        <v>330.9</v>
      </c>
      <c r="E349" s="10">
        <v>330.9</v>
      </c>
      <c r="F349" s="10">
        <v>0.57999999999999996</v>
      </c>
      <c r="G349" s="22">
        <f t="shared" si="22"/>
        <v>106.89924000000002</v>
      </c>
      <c r="H349" s="21" t="s">
        <v>246</v>
      </c>
      <c r="I349" s="9"/>
      <c r="K349"/>
      <c r="L349" s="7">
        <f t="shared" si="21"/>
        <v>330.9</v>
      </c>
      <c r="M349" s="6"/>
      <c r="R349" s="7"/>
      <c r="S349" s="7"/>
    </row>
    <row r="350" spans="1:19" ht="14" x14ac:dyDescent="0.15">
      <c r="A350" s="21">
        <v>346</v>
      </c>
      <c r="B350" s="9" t="s">
        <v>369</v>
      </c>
      <c r="C350" s="9" t="s">
        <v>23</v>
      </c>
      <c r="D350" s="10">
        <v>320.70999999999998</v>
      </c>
      <c r="E350" s="10">
        <v>320.70999999999998</v>
      </c>
      <c r="F350" s="10">
        <v>0.56000000000000005</v>
      </c>
      <c r="G350" s="22">
        <f t="shared" si="22"/>
        <v>107.21995000000003</v>
      </c>
      <c r="H350" s="21" t="s">
        <v>246</v>
      </c>
      <c r="I350" s="9"/>
      <c r="K350"/>
      <c r="L350" s="7">
        <f t="shared" si="21"/>
        <v>320.70999999999998</v>
      </c>
      <c r="M350" s="6"/>
      <c r="R350" s="7"/>
      <c r="S350" s="7"/>
    </row>
    <row r="351" spans="1:19" ht="14" x14ac:dyDescent="0.15">
      <c r="A351" s="21">
        <v>347</v>
      </c>
      <c r="B351" s="9" t="s">
        <v>370</v>
      </c>
      <c r="C351" s="9" t="s">
        <v>19</v>
      </c>
      <c r="D351" s="10">
        <v>304.70999999999998</v>
      </c>
      <c r="E351" s="10">
        <v>313.20999999999998</v>
      </c>
      <c r="F351" s="10">
        <v>52.21</v>
      </c>
      <c r="G351" s="22">
        <f t="shared" si="22"/>
        <v>107.53316000000002</v>
      </c>
      <c r="H351" s="21" t="s">
        <v>246</v>
      </c>
      <c r="I351" s="9"/>
      <c r="K351" s="7">
        <f>D351+8.5</f>
        <v>313.20999999999998</v>
      </c>
      <c r="L351" s="7">
        <f t="shared" si="21"/>
        <v>313.20999999999998</v>
      </c>
      <c r="M351" s="6"/>
      <c r="R351" s="7"/>
      <c r="S351" s="7"/>
    </row>
    <row r="352" spans="1:19" ht="14" x14ac:dyDescent="0.15">
      <c r="A352" s="21">
        <v>348</v>
      </c>
      <c r="B352" s="9" t="s">
        <v>371</v>
      </c>
      <c r="C352" s="9" t="s">
        <v>16</v>
      </c>
      <c r="D352" s="10">
        <v>300.93</v>
      </c>
      <c r="E352" s="10">
        <v>300.93</v>
      </c>
      <c r="F352" s="10">
        <v>0.92</v>
      </c>
      <c r="G352" s="22">
        <f t="shared" si="22"/>
        <v>107.83409000000002</v>
      </c>
      <c r="H352" s="21" t="s">
        <v>246</v>
      </c>
      <c r="I352" s="9"/>
      <c r="K352"/>
      <c r="L352" s="7">
        <f t="shared" si="21"/>
        <v>300.93</v>
      </c>
      <c r="M352" s="6"/>
      <c r="R352" s="7"/>
      <c r="S352" s="7"/>
    </row>
    <row r="353" spans="1:19" ht="14" x14ac:dyDescent="0.15">
      <c r="A353" s="21">
        <v>349</v>
      </c>
      <c r="B353" s="9" t="s">
        <v>372</v>
      </c>
      <c r="C353" s="9" t="s">
        <v>19</v>
      </c>
      <c r="D353" s="10">
        <v>326.75</v>
      </c>
      <c r="E353" s="10">
        <v>335.25</v>
      </c>
      <c r="F353" s="10">
        <v>5.49</v>
      </c>
      <c r="G353" s="22">
        <f t="shared" si="22"/>
        <v>108.16934000000002</v>
      </c>
      <c r="H353" s="21" t="s">
        <v>246</v>
      </c>
      <c r="I353" s="9"/>
      <c r="K353" s="7">
        <f>D353+8.5</f>
        <v>335.25</v>
      </c>
      <c r="L353" s="7">
        <f t="shared" si="21"/>
        <v>335.25</v>
      </c>
      <c r="M353" s="6"/>
      <c r="R353" s="7"/>
      <c r="S353" s="7"/>
    </row>
    <row r="354" spans="1:19" ht="14" x14ac:dyDescent="0.15">
      <c r="A354" s="21">
        <v>350</v>
      </c>
      <c r="B354" s="9" t="s">
        <v>373</v>
      </c>
      <c r="C354" s="9" t="s">
        <v>16</v>
      </c>
      <c r="D354" s="10">
        <v>310.18</v>
      </c>
      <c r="E354" s="10">
        <v>310.18</v>
      </c>
      <c r="F354" s="10">
        <v>14.42</v>
      </c>
      <c r="G354" s="22">
        <f t="shared" si="22"/>
        <v>108.47952000000002</v>
      </c>
      <c r="H354" s="21" t="s">
        <v>246</v>
      </c>
      <c r="I354" s="9"/>
      <c r="K354"/>
      <c r="L354" s="7">
        <f t="shared" si="21"/>
        <v>310.18</v>
      </c>
      <c r="M354" s="6"/>
      <c r="R354" s="7"/>
      <c r="S354" s="7"/>
    </row>
    <row r="355" spans="1:19" ht="14" x14ac:dyDescent="0.15">
      <c r="A355" s="21">
        <v>351</v>
      </c>
      <c r="B355" s="9" t="s">
        <v>374</v>
      </c>
      <c r="C355" s="9" t="s">
        <v>23</v>
      </c>
      <c r="D355" s="10">
        <v>305.12</v>
      </c>
      <c r="E355" s="10">
        <v>305.12</v>
      </c>
      <c r="F355" s="10">
        <v>3.96</v>
      </c>
      <c r="G355" s="22">
        <f t="shared" si="22"/>
        <v>108.78464000000002</v>
      </c>
      <c r="H355" s="21" t="s">
        <v>246</v>
      </c>
      <c r="I355" s="9"/>
      <c r="K355"/>
      <c r="L355" s="7">
        <f t="shared" si="21"/>
        <v>305.12</v>
      </c>
      <c r="M355" s="6"/>
      <c r="R355" s="7"/>
      <c r="S355" s="7"/>
    </row>
    <row r="356" spans="1:19" ht="14" x14ac:dyDescent="0.15">
      <c r="A356" s="21">
        <v>352</v>
      </c>
      <c r="B356" s="9" t="s">
        <v>375</v>
      </c>
      <c r="C356" s="9" t="s">
        <v>23</v>
      </c>
      <c r="D356" s="10">
        <v>290.16000000000003</v>
      </c>
      <c r="E356" s="10">
        <v>290.16000000000003</v>
      </c>
      <c r="F356" s="10">
        <v>6.97</v>
      </c>
      <c r="G356" s="22">
        <f t="shared" si="22"/>
        <v>109.07480000000002</v>
      </c>
      <c r="H356" s="21" t="s">
        <v>246</v>
      </c>
      <c r="I356" s="9"/>
      <c r="K356"/>
      <c r="L356" s="7">
        <f t="shared" si="21"/>
        <v>290.16000000000003</v>
      </c>
      <c r="M356" s="6"/>
      <c r="R356" s="7"/>
      <c r="S356" s="7"/>
    </row>
    <row r="357" spans="1:19" ht="14" x14ac:dyDescent="0.15">
      <c r="A357" s="21">
        <v>353</v>
      </c>
      <c r="B357" s="9" t="s">
        <v>376</v>
      </c>
      <c r="C357" s="9" t="s">
        <v>16</v>
      </c>
      <c r="D357" s="10">
        <v>91.82</v>
      </c>
      <c r="E357" s="10">
        <v>91.82</v>
      </c>
      <c r="F357" s="10">
        <v>5.01</v>
      </c>
      <c r="G357" s="22">
        <f t="shared" si="22"/>
        <v>109.16662000000002</v>
      </c>
      <c r="H357" s="21" t="s">
        <v>246</v>
      </c>
      <c r="I357" s="9"/>
      <c r="K357"/>
      <c r="L357" s="7">
        <f t="shared" si="21"/>
        <v>91.82</v>
      </c>
      <c r="M357" s="6"/>
      <c r="R357" s="7"/>
      <c r="S357" s="7"/>
    </row>
    <row r="358" spans="1:19" ht="14" x14ac:dyDescent="0.15">
      <c r="A358" s="21">
        <v>354</v>
      </c>
      <c r="B358" s="9" t="s">
        <v>377</v>
      </c>
      <c r="C358" s="9" t="s">
        <v>16</v>
      </c>
      <c r="D358" s="10">
        <v>247.93</v>
      </c>
      <c r="E358" s="10">
        <v>247.93</v>
      </c>
      <c r="F358" s="10">
        <v>3.95</v>
      </c>
      <c r="G358" s="22">
        <f t="shared" si="22"/>
        <v>109.41455000000002</v>
      </c>
      <c r="H358" s="21" t="s">
        <v>246</v>
      </c>
      <c r="I358" s="9"/>
      <c r="K358"/>
      <c r="L358" s="7">
        <f t="shared" si="21"/>
        <v>247.93</v>
      </c>
      <c r="M358" s="6"/>
      <c r="R358" s="7"/>
      <c r="S358" s="7"/>
    </row>
    <row r="359" spans="1:19" ht="14" x14ac:dyDescent="0.15">
      <c r="A359" s="21">
        <v>355</v>
      </c>
      <c r="B359" s="9" t="s">
        <v>378</v>
      </c>
      <c r="C359" s="9" t="s">
        <v>16</v>
      </c>
      <c r="D359" s="10">
        <v>312.54000000000002</v>
      </c>
      <c r="E359" s="10">
        <v>312.54000000000002</v>
      </c>
      <c r="F359" s="10">
        <v>0.17</v>
      </c>
      <c r="G359" s="22">
        <f t="shared" si="22"/>
        <v>109.72709000000002</v>
      </c>
      <c r="H359" s="21" t="s">
        <v>246</v>
      </c>
      <c r="I359" s="9"/>
      <c r="K359"/>
      <c r="L359" s="7">
        <f t="shared" si="21"/>
        <v>312.54000000000002</v>
      </c>
      <c r="M359" s="6"/>
      <c r="R359" s="7"/>
      <c r="S359" s="7"/>
    </row>
    <row r="360" spans="1:19" ht="14" x14ac:dyDescent="0.15">
      <c r="A360" s="21">
        <v>356</v>
      </c>
      <c r="B360" s="9" t="s">
        <v>379</v>
      </c>
      <c r="C360" s="9" t="s">
        <v>23</v>
      </c>
      <c r="D360" s="10">
        <v>353.86</v>
      </c>
      <c r="E360" s="10">
        <v>353.86</v>
      </c>
      <c r="F360" s="10">
        <v>0.55000000000000004</v>
      </c>
      <c r="G360" s="22">
        <f t="shared" si="22"/>
        <v>110.08095000000002</v>
      </c>
      <c r="H360" s="21" t="s">
        <v>246</v>
      </c>
      <c r="I360" s="9"/>
      <c r="K360"/>
      <c r="L360" s="7">
        <f t="shared" si="21"/>
        <v>353.86</v>
      </c>
      <c r="M360" s="6"/>
      <c r="R360" s="7"/>
      <c r="S360" s="7"/>
    </row>
    <row r="361" spans="1:19" ht="56" x14ac:dyDescent="0.15">
      <c r="A361" s="22">
        <v>357</v>
      </c>
      <c r="B361" s="9" t="s">
        <v>380</v>
      </c>
      <c r="C361" s="9" t="s">
        <v>28</v>
      </c>
      <c r="D361" s="10">
        <v>357.1</v>
      </c>
      <c r="E361" s="10">
        <v>365.6</v>
      </c>
      <c r="F361" s="10">
        <v>22.61</v>
      </c>
      <c r="G361" s="22">
        <f t="shared" si="22"/>
        <v>110.44655000000002</v>
      </c>
      <c r="H361" s="22" t="s">
        <v>381</v>
      </c>
      <c r="I361" s="22" t="s">
        <v>382</v>
      </c>
      <c r="K361" s="7">
        <f>D361+8.5</f>
        <v>365.6</v>
      </c>
      <c r="L361" s="7">
        <f t="shared" si="21"/>
        <v>365.6</v>
      </c>
      <c r="M361" s="6"/>
      <c r="R361" s="7"/>
      <c r="S361" s="7"/>
    </row>
    <row r="362" spans="1:19" ht="14" x14ac:dyDescent="0.15">
      <c r="A362" s="21">
        <v>358</v>
      </c>
      <c r="B362" s="9" t="s">
        <v>383</v>
      </c>
      <c r="C362" s="9" t="s">
        <v>16</v>
      </c>
      <c r="D362" s="10">
        <v>242.6</v>
      </c>
      <c r="E362" s="10">
        <v>242.6</v>
      </c>
      <c r="F362" s="10">
        <v>3.32</v>
      </c>
      <c r="G362" s="22">
        <f t="shared" si="22"/>
        <v>110.68915000000001</v>
      </c>
      <c r="H362" s="21" t="s">
        <v>381</v>
      </c>
      <c r="I362" s="9"/>
      <c r="K362"/>
      <c r="L362" s="7">
        <f t="shared" si="21"/>
        <v>242.6</v>
      </c>
      <c r="M362" s="6"/>
      <c r="R362" s="7"/>
      <c r="S362" s="7"/>
    </row>
    <row r="363" spans="1:19" ht="14" x14ac:dyDescent="0.15">
      <c r="A363" s="21">
        <v>359</v>
      </c>
      <c r="B363" s="9" t="s">
        <v>384</v>
      </c>
      <c r="C363" s="9" t="s">
        <v>23</v>
      </c>
      <c r="D363" s="10">
        <v>310.99</v>
      </c>
      <c r="E363" s="10">
        <v>310.99</v>
      </c>
      <c r="F363" s="10">
        <v>1.1499999999999999</v>
      </c>
      <c r="G363" s="22">
        <f t="shared" si="22"/>
        <v>111.00014000000002</v>
      </c>
      <c r="H363" s="21" t="s">
        <v>381</v>
      </c>
      <c r="I363" s="9"/>
      <c r="K363"/>
      <c r="L363" s="7">
        <f t="shared" si="21"/>
        <v>310.99</v>
      </c>
      <c r="M363" s="6"/>
      <c r="R363" s="7"/>
      <c r="S363" s="7"/>
    </row>
    <row r="364" spans="1:19" ht="14" x14ac:dyDescent="0.15">
      <c r="A364" s="21">
        <v>360</v>
      </c>
      <c r="B364" s="9" t="s">
        <v>385</v>
      </c>
      <c r="C364" s="9" t="s">
        <v>23</v>
      </c>
      <c r="D364" s="10">
        <v>369.53</v>
      </c>
      <c r="E364" s="10">
        <v>369.53</v>
      </c>
      <c r="F364" s="10">
        <v>0.12</v>
      </c>
      <c r="G364" s="22">
        <f t="shared" si="22"/>
        <v>111.36967000000001</v>
      </c>
      <c r="H364" s="21" t="s">
        <v>381</v>
      </c>
      <c r="I364" s="9"/>
      <c r="K364"/>
      <c r="L364" s="7">
        <f t="shared" si="21"/>
        <v>369.53</v>
      </c>
      <c r="M364" s="6"/>
      <c r="R364" s="7"/>
      <c r="S364" s="7"/>
    </row>
    <row r="365" spans="1:19" ht="14" x14ac:dyDescent="0.15">
      <c r="A365" s="21">
        <v>361</v>
      </c>
      <c r="B365" s="9" t="s">
        <v>386</v>
      </c>
      <c r="C365" s="9" t="s">
        <v>23</v>
      </c>
      <c r="D365" s="10">
        <v>324.33</v>
      </c>
      <c r="E365" s="10">
        <v>324.33</v>
      </c>
      <c r="F365" s="10">
        <v>0.4</v>
      </c>
      <c r="G365" s="22">
        <f t="shared" si="22"/>
        <v>111.69400000000002</v>
      </c>
      <c r="H365" s="21" t="s">
        <v>381</v>
      </c>
      <c r="I365" s="9"/>
      <c r="K365"/>
      <c r="L365" s="7">
        <f t="shared" si="21"/>
        <v>324.33</v>
      </c>
      <c r="M365" s="6"/>
      <c r="R365" s="7"/>
      <c r="S365" s="7"/>
    </row>
    <row r="366" spans="1:19" ht="14" x14ac:dyDescent="0.15">
      <c r="A366" s="21">
        <v>362</v>
      </c>
      <c r="B366" s="9" t="s">
        <v>387</v>
      </c>
      <c r="C366" s="9" t="s">
        <v>16</v>
      </c>
      <c r="D366" s="10">
        <v>307.55</v>
      </c>
      <c r="E366" s="10">
        <v>307.55</v>
      </c>
      <c r="F366" s="10">
        <v>5.38</v>
      </c>
      <c r="G366" s="22">
        <f t="shared" si="22"/>
        <v>112.00155000000002</v>
      </c>
      <c r="H366" s="21" t="s">
        <v>381</v>
      </c>
      <c r="I366" s="9"/>
      <c r="K366"/>
      <c r="L366" s="7">
        <f t="shared" si="21"/>
        <v>307.55</v>
      </c>
      <c r="M366" s="6"/>
      <c r="R366" s="7"/>
      <c r="S366" s="7"/>
    </row>
    <row r="367" spans="1:19" ht="14" x14ac:dyDescent="0.15">
      <c r="A367" s="21">
        <v>363</v>
      </c>
      <c r="B367" s="9" t="s">
        <v>388</v>
      </c>
      <c r="C367" s="9" t="s">
        <v>23</v>
      </c>
      <c r="D367" s="10">
        <v>348.28</v>
      </c>
      <c r="E367" s="10">
        <v>348.28</v>
      </c>
      <c r="F367" s="10">
        <v>3.85</v>
      </c>
      <c r="G367" s="22">
        <f t="shared" si="22"/>
        <v>112.34983000000003</v>
      </c>
      <c r="H367" s="21" t="s">
        <v>381</v>
      </c>
      <c r="I367" s="9"/>
      <c r="K367"/>
      <c r="L367" s="7">
        <f t="shared" si="21"/>
        <v>348.28</v>
      </c>
      <c r="M367" s="6"/>
      <c r="R367" s="7"/>
      <c r="S367" s="7"/>
    </row>
    <row r="368" spans="1:19" ht="14" x14ac:dyDescent="0.15">
      <c r="A368" s="21">
        <v>364</v>
      </c>
      <c r="B368" s="9" t="s">
        <v>389</v>
      </c>
      <c r="C368" s="9" t="s">
        <v>23</v>
      </c>
      <c r="D368" s="10">
        <v>319.02999999999997</v>
      </c>
      <c r="E368" s="10">
        <v>319.02999999999997</v>
      </c>
      <c r="F368" s="10">
        <v>0.04</v>
      </c>
      <c r="G368" s="22">
        <f t="shared" si="22"/>
        <v>112.66886000000002</v>
      </c>
      <c r="H368" s="21" t="s">
        <v>381</v>
      </c>
      <c r="I368" s="9"/>
      <c r="K368"/>
      <c r="L368" s="7">
        <f t="shared" si="21"/>
        <v>319.02999999999997</v>
      </c>
      <c r="M368" s="6"/>
      <c r="R368" s="7"/>
      <c r="S368" s="7"/>
    </row>
    <row r="369" spans="1:19" ht="14" x14ac:dyDescent="0.15">
      <c r="A369" s="21">
        <v>365</v>
      </c>
      <c r="B369" s="9" t="s">
        <v>390</v>
      </c>
      <c r="C369" s="9" t="s">
        <v>28</v>
      </c>
      <c r="D369" s="10">
        <v>270.49</v>
      </c>
      <c r="E369" s="10">
        <v>278.99</v>
      </c>
      <c r="F369" s="10">
        <v>17.45</v>
      </c>
      <c r="G369" s="22">
        <f t="shared" si="22"/>
        <v>112.94785000000002</v>
      </c>
      <c r="H369" s="21" t="s">
        <v>381</v>
      </c>
      <c r="I369" s="9"/>
      <c r="K369" s="7">
        <f>D369+8.5</f>
        <v>278.99</v>
      </c>
      <c r="L369" s="7">
        <f t="shared" si="21"/>
        <v>278.99</v>
      </c>
      <c r="M369" s="6"/>
      <c r="R369" s="7"/>
      <c r="S369" s="7"/>
    </row>
    <row r="370" spans="1:19" ht="14" x14ac:dyDescent="0.15">
      <c r="A370" s="21">
        <v>366</v>
      </c>
      <c r="B370" s="9" t="s">
        <v>391</v>
      </c>
      <c r="C370" s="9" t="s">
        <v>23</v>
      </c>
      <c r="D370" s="10">
        <v>292.37</v>
      </c>
      <c r="E370" s="10">
        <v>292.37</v>
      </c>
      <c r="F370" s="10">
        <v>7.0000000000000007E-2</v>
      </c>
      <c r="G370" s="22">
        <f t="shared" si="22"/>
        <v>113.24022000000002</v>
      </c>
      <c r="H370" s="21" t="s">
        <v>381</v>
      </c>
      <c r="I370" s="9"/>
      <c r="K370"/>
      <c r="L370" s="7">
        <f t="shared" si="21"/>
        <v>292.37</v>
      </c>
      <c r="M370" s="6"/>
      <c r="R370" s="7"/>
      <c r="S370" s="7"/>
    </row>
    <row r="371" spans="1:19" ht="14" x14ac:dyDescent="0.15">
      <c r="A371" s="21">
        <v>367</v>
      </c>
      <c r="B371" s="9" t="s">
        <v>392</v>
      </c>
      <c r="C371" s="9" t="s">
        <v>23</v>
      </c>
      <c r="D371" s="10">
        <v>247.27</v>
      </c>
      <c r="E371" s="10">
        <v>247.27</v>
      </c>
      <c r="F371" s="10">
        <v>0.27</v>
      </c>
      <c r="G371" s="22">
        <f t="shared" si="22"/>
        <v>113.48749000000002</v>
      </c>
      <c r="H371" s="21" t="s">
        <v>381</v>
      </c>
      <c r="I371" s="9"/>
      <c r="K371"/>
      <c r="L371" s="7">
        <f t="shared" si="21"/>
        <v>247.27</v>
      </c>
      <c r="M371" s="6"/>
      <c r="R371" s="7"/>
      <c r="S371" s="7"/>
    </row>
    <row r="372" spans="1:19" ht="14" x14ac:dyDescent="0.15">
      <c r="A372" s="21">
        <v>368</v>
      </c>
      <c r="B372" s="9" t="s">
        <v>393</v>
      </c>
      <c r="C372" s="9" t="s">
        <v>19</v>
      </c>
      <c r="D372" s="10">
        <v>297.85000000000002</v>
      </c>
      <c r="E372" s="10">
        <v>306.35000000000002</v>
      </c>
      <c r="F372" s="10">
        <v>59.62</v>
      </c>
      <c r="G372" s="22">
        <f t="shared" si="22"/>
        <v>113.79384000000002</v>
      </c>
      <c r="H372" s="21" t="s">
        <v>381</v>
      </c>
      <c r="I372" s="9"/>
      <c r="K372" s="7">
        <f>D372+8.5</f>
        <v>306.35000000000002</v>
      </c>
      <c r="L372" s="7">
        <f t="shared" si="21"/>
        <v>306.35000000000002</v>
      </c>
      <c r="M372" s="6"/>
      <c r="R372" s="7"/>
      <c r="S372" s="7"/>
    </row>
    <row r="373" spans="1:19" ht="14" x14ac:dyDescent="0.15">
      <c r="A373" s="21">
        <v>369</v>
      </c>
      <c r="B373" s="9" t="s">
        <v>394</v>
      </c>
      <c r="C373" s="9" t="s">
        <v>23</v>
      </c>
      <c r="D373" s="10">
        <v>247.13</v>
      </c>
      <c r="E373" s="10">
        <v>247.13</v>
      </c>
      <c r="F373" s="10">
        <v>0.22</v>
      </c>
      <c r="G373" s="22">
        <f t="shared" si="22"/>
        <v>114.04097000000002</v>
      </c>
      <c r="H373" s="21" t="s">
        <v>381</v>
      </c>
      <c r="I373" s="9"/>
      <c r="K373"/>
      <c r="L373" s="7">
        <f t="shared" si="21"/>
        <v>247.13</v>
      </c>
      <c r="M373" s="6"/>
      <c r="R373" s="7"/>
      <c r="S373" s="7"/>
    </row>
    <row r="374" spans="1:19" ht="14" x14ac:dyDescent="0.15">
      <c r="A374" s="21">
        <v>370</v>
      </c>
      <c r="B374" s="9" t="s">
        <v>395</v>
      </c>
      <c r="C374" s="9" t="s">
        <v>28</v>
      </c>
      <c r="D374" s="10">
        <v>329.53</v>
      </c>
      <c r="E374" s="10">
        <v>338.03</v>
      </c>
      <c r="F374" s="10">
        <v>25.83</v>
      </c>
      <c r="G374" s="22">
        <f t="shared" si="22"/>
        <v>114.37900000000002</v>
      </c>
      <c r="H374" s="21" t="s">
        <v>381</v>
      </c>
      <c r="I374" s="9"/>
      <c r="K374" s="7">
        <f>D374+8.5</f>
        <v>338.03</v>
      </c>
      <c r="L374" s="7">
        <f t="shared" si="21"/>
        <v>338.03</v>
      </c>
      <c r="M374" s="6"/>
      <c r="R374" s="7"/>
      <c r="S374" s="7"/>
    </row>
    <row r="375" spans="1:19" ht="14" x14ac:dyDescent="0.15">
      <c r="A375" s="21">
        <v>371</v>
      </c>
      <c r="B375" s="9" t="s">
        <v>396</v>
      </c>
      <c r="C375" s="9" t="s">
        <v>23</v>
      </c>
      <c r="D375" s="10">
        <v>302.68</v>
      </c>
      <c r="E375" s="10">
        <v>302.68</v>
      </c>
      <c r="F375" s="10">
        <v>1.05</v>
      </c>
      <c r="G375" s="22">
        <f t="shared" si="22"/>
        <v>114.68168000000001</v>
      </c>
      <c r="H375" s="21" t="s">
        <v>381</v>
      </c>
      <c r="I375" s="9"/>
      <c r="K375"/>
      <c r="L375" s="7">
        <f t="shared" si="21"/>
        <v>302.68</v>
      </c>
      <c r="M375" s="6"/>
      <c r="R375" s="7"/>
      <c r="S375" s="7"/>
    </row>
    <row r="376" spans="1:19" ht="14" x14ac:dyDescent="0.15">
      <c r="A376" s="21">
        <v>372</v>
      </c>
      <c r="B376" s="9" t="s">
        <v>397</v>
      </c>
      <c r="C376" s="9" t="s">
        <v>23</v>
      </c>
      <c r="D376" s="10">
        <v>324.2</v>
      </c>
      <c r="E376" s="10">
        <v>324.2</v>
      </c>
      <c r="F376" s="10">
        <v>0.15</v>
      </c>
      <c r="G376" s="22">
        <f t="shared" si="22"/>
        <v>115.00588000000002</v>
      </c>
      <c r="H376" s="21" t="s">
        <v>381</v>
      </c>
      <c r="I376" s="9"/>
      <c r="K376"/>
      <c r="L376" s="7">
        <f t="shared" si="21"/>
        <v>324.2</v>
      </c>
      <c r="M376" s="6"/>
      <c r="R376" s="7"/>
      <c r="S376" s="7"/>
    </row>
    <row r="377" spans="1:19" ht="14" x14ac:dyDescent="0.15">
      <c r="A377" s="21">
        <v>373</v>
      </c>
      <c r="B377" s="9" t="s">
        <v>398</v>
      </c>
      <c r="C377" s="9" t="s">
        <v>23</v>
      </c>
      <c r="D377" s="10">
        <v>310.01</v>
      </c>
      <c r="E377" s="10">
        <v>310.01</v>
      </c>
      <c r="F377" s="10">
        <v>0.02</v>
      </c>
      <c r="G377" s="22">
        <f t="shared" si="22"/>
        <v>115.31589000000002</v>
      </c>
      <c r="H377" s="21" t="s">
        <v>381</v>
      </c>
      <c r="I377" s="9"/>
      <c r="K377"/>
      <c r="L377" s="7">
        <f t="shared" si="21"/>
        <v>310.01</v>
      </c>
      <c r="M377" s="6"/>
      <c r="R377" s="7"/>
      <c r="S377" s="7"/>
    </row>
    <row r="378" spans="1:19" ht="14" x14ac:dyDescent="0.15">
      <c r="A378" s="21">
        <v>374</v>
      </c>
      <c r="B378" s="9" t="s">
        <v>399</v>
      </c>
      <c r="C378" s="9" t="s">
        <v>23</v>
      </c>
      <c r="D378" s="10">
        <v>281.14999999999998</v>
      </c>
      <c r="E378" s="10">
        <v>281.14999999999998</v>
      </c>
      <c r="F378" s="10">
        <v>0.03</v>
      </c>
      <c r="G378" s="22">
        <f t="shared" si="22"/>
        <v>115.59704000000002</v>
      </c>
      <c r="H378" s="21" t="s">
        <v>381</v>
      </c>
      <c r="I378" s="9"/>
      <c r="K378"/>
      <c r="L378" s="7">
        <f t="shared" si="21"/>
        <v>281.14999999999998</v>
      </c>
      <c r="M378" s="6"/>
      <c r="R378" s="7"/>
      <c r="S378" s="7"/>
    </row>
    <row r="379" spans="1:19" ht="14" x14ac:dyDescent="0.15">
      <c r="A379" s="21">
        <v>375</v>
      </c>
      <c r="B379" s="9" t="s">
        <v>400</v>
      </c>
      <c r="C379" s="9" t="s">
        <v>23</v>
      </c>
      <c r="D379" s="10">
        <v>315.05</v>
      </c>
      <c r="E379" s="10">
        <v>315.05</v>
      </c>
      <c r="F379" s="10">
        <v>0.13</v>
      </c>
      <c r="G379" s="22">
        <f t="shared" si="22"/>
        <v>115.91209000000002</v>
      </c>
      <c r="H379" s="21" t="s">
        <v>381</v>
      </c>
      <c r="I379" s="9"/>
      <c r="K379"/>
      <c r="L379" s="7">
        <f t="shared" si="21"/>
        <v>315.05</v>
      </c>
      <c r="M379" s="6"/>
      <c r="R379" s="7"/>
      <c r="S379" s="7"/>
    </row>
    <row r="380" spans="1:19" ht="14" x14ac:dyDescent="0.15">
      <c r="A380" s="21">
        <v>376</v>
      </c>
      <c r="B380" s="9" t="s">
        <v>401</v>
      </c>
      <c r="C380" s="9" t="s">
        <v>23</v>
      </c>
      <c r="D380" s="10">
        <v>331.76</v>
      </c>
      <c r="E380" s="10">
        <v>331.76</v>
      </c>
      <c r="F380" s="10">
        <v>0.23</v>
      </c>
      <c r="G380" s="22">
        <f t="shared" si="22"/>
        <v>116.24385000000002</v>
      </c>
      <c r="H380" s="21" t="s">
        <v>381</v>
      </c>
      <c r="I380" s="9"/>
      <c r="K380"/>
      <c r="L380" s="7">
        <f t="shared" si="21"/>
        <v>331.76</v>
      </c>
      <c r="M380" s="6"/>
      <c r="R380" s="7"/>
      <c r="S380" s="7"/>
    </row>
    <row r="381" spans="1:19" ht="14" x14ac:dyDescent="0.15">
      <c r="A381" s="21">
        <v>377</v>
      </c>
      <c r="B381" s="9" t="s">
        <v>402</v>
      </c>
      <c r="C381" s="9" t="s">
        <v>16</v>
      </c>
      <c r="D381" s="10">
        <v>327.10000000000002</v>
      </c>
      <c r="E381" s="10">
        <v>327.10000000000002</v>
      </c>
      <c r="F381" s="10">
        <v>0.37</v>
      </c>
      <c r="G381" s="22">
        <f t="shared" si="22"/>
        <v>116.57095000000002</v>
      </c>
      <c r="H381" s="21" t="s">
        <v>381</v>
      </c>
      <c r="I381" s="9"/>
      <c r="K381"/>
      <c r="L381" s="7">
        <f t="shared" si="21"/>
        <v>327.10000000000002</v>
      </c>
      <c r="M381" s="6"/>
      <c r="R381" s="7"/>
      <c r="S381" s="7"/>
    </row>
    <row r="382" spans="1:19" ht="14" x14ac:dyDescent="0.15">
      <c r="A382" s="21">
        <v>378</v>
      </c>
      <c r="B382" s="9" t="s">
        <v>403</v>
      </c>
      <c r="C382" s="9" t="s">
        <v>23</v>
      </c>
      <c r="D382" s="10">
        <v>335.94</v>
      </c>
      <c r="E382" s="10">
        <v>335.94</v>
      </c>
      <c r="F382" s="10">
        <v>0.43</v>
      </c>
      <c r="G382" s="22">
        <f t="shared" si="22"/>
        <v>116.90689000000002</v>
      </c>
      <c r="H382" s="21" t="s">
        <v>381</v>
      </c>
      <c r="I382" s="9"/>
      <c r="K382"/>
      <c r="L382" s="7">
        <f t="shared" si="21"/>
        <v>335.94</v>
      </c>
      <c r="M382" s="6"/>
      <c r="R382" s="7"/>
      <c r="S382" s="7"/>
    </row>
    <row r="383" spans="1:19" ht="14" x14ac:dyDescent="0.15">
      <c r="A383" s="21">
        <v>379</v>
      </c>
      <c r="B383" s="9" t="s">
        <v>404</v>
      </c>
      <c r="C383" s="9" t="s">
        <v>23</v>
      </c>
      <c r="D383" s="10">
        <v>315.5</v>
      </c>
      <c r="E383" s="10">
        <v>315.5</v>
      </c>
      <c r="F383" s="10">
        <v>0.1</v>
      </c>
      <c r="G383" s="22">
        <f t="shared" si="22"/>
        <v>117.22239000000002</v>
      </c>
      <c r="H383" s="21" t="s">
        <v>381</v>
      </c>
      <c r="I383" s="9"/>
      <c r="K383"/>
      <c r="L383" s="7">
        <f t="shared" si="21"/>
        <v>315.5</v>
      </c>
      <c r="M383" s="6"/>
      <c r="R383" s="7"/>
      <c r="S383" s="7"/>
    </row>
    <row r="384" spans="1:19" ht="14" x14ac:dyDescent="0.15">
      <c r="A384" s="21">
        <v>380</v>
      </c>
      <c r="B384" s="9" t="s">
        <v>405</v>
      </c>
      <c r="C384" s="9" t="s">
        <v>23</v>
      </c>
      <c r="D384" s="10">
        <v>276.54000000000002</v>
      </c>
      <c r="E384" s="10">
        <v>276.54000000000002</v>
      </c>
      <c r="F384" s="10">
        <v>0.45</v>
      </c>
      <c r="G384" s="22">
        <f t="shared" si="22"/>
        <v>117.49893000000002</v>
      </c>
      <c r="H384" s="21" t="s">
        <v>381</v>
      </c>
      <c r="I384" s="9"/>
      <c r="K384"/>
      <c r="L384" s="7">
        <f t="shared" si="21"/>
        <v>276.54000000000002</v>
      </c>
      <c r="M384" s="6"/>
      <c r="R384" s="7"/>
      <c r="S384" s="7"/>
    </row>
    <row r="385" spans="1:19" ht="14" x14ac:dyDescent="0.15">
      <c r="A385" s="21">
        <v>381</v>
      </c>
      <c r="B385" s="9" t="s">
        <v>406</v>
      </c>
      <c r="C385" s="9" t="s">
        <v>23</v>
      </c>
      <c r="D385" s="10">
        <v>337.19</v>
      </c>
      <c r="E385" s="10">
        <v>337.19</v>
      </c>
      <c r="F385" s="10">
        <v>0.41</v>
      </c>
      <c r="G385" s="22">
        <f t="shared" si="22"/>
        <v>117.83612000000002</v>
      </c>
      <c r="H385" s="21" t="s">
        <v>381</v>
      </c>
      <c r="I385" s="9"/>
      <c r="K385"/>
      <c r="L385" s="7">
        <f t="shared" si="21"/>
        <v>337.19</v>
      </c>
      <c r="M385" s="6"/>
      <c r="R385" s="7"/>
      <c r="S385" s="7"/>
    </row>
    <row r="386" spans="1:19" ht="14" x14ac:dyDescent="0.15">
      <c r="A386" s="21">
        <v>382</v>
      </c>
      <c r="B386" s="9" t="s">
        <v>407</v>
      </c>
      <c r="C386" s="9" t="s">
        <v>23</v>
      </c>
      <c r="D386" s="10">
        <v>303.17</v>
      </c>
      <c r="E386" s="10">
        <v>303.17</v>
      </c>
      <c r="F386" s="10">
        <v>0.38</v>
      </c>
      <c r="G386" s="22">
        <f t="shared" si="22"/>
        <v>118.13929000000002</v>
      </c>
      <c r="H386" s="21" t="s">
        <v>381</v>
      </c>
      <c r="I386" s="9"/>
      <c r="K386"/>
      <c r="L386" s="7">
        <f t="shared" si="21"/>
        <v>303.17</v>
      </c>
      <c r="M386" s="6"/>
      <c r="R386" s="7"/>
      <c r="S386" s="7"/>
    </row>
    <row r="387" spans="1:19" ht="14" x14ac:dyDescent="0.15">
      <c r="A387" s="21">
        <v>383</v>
      </c>
      <c r="B387" s="9" t="s">
        <v>408</v>
      </c>
      <c r="C387" s="9" t="s">
        <v>28</v>
      </c>
      <c r="D387" s="10">
        <v>312.17</v>
      </c>
      <c r="E387" s="10">
        <v>320.67</v>
      </c>
      <c r="F387" s="10">
        <v>28.13</v>
      </c>
      <c r="G387" s="22">
        <f t="shared" si="22"/>
        <v>118.45996000000002</v>
      </c>
      <c r="H387" s="21" t="s">
        <v>381</v>
      </c>
      <c r="I387" s="9"/>
      <c r="K387" s="7">
        <f>D387+8.5</f>
        <v>320.67</v>
      </c>
      <c r="L387" s="7">
        <f t="shared" ref="L387:L450" si="23">IF(K387&lt;&gt;"",K387,D387)</f>
        <v>320.67</v>
      </c>
      <c r="M387" s="6"/>
      <c r="R387" s="7"/>
      <c r="S387" s="7"/>
    </row>
    <row r="388" spans="1:19" ht="14" x14ac:dyDescent="0.15">
      <c r="A388" s="21">
        <v>384</v>
      </c>
      <c r="B388" s="9" t="s">
        <v>409</v>
      </c>
      <c r="C388" s="9" t="s">
        <v>23</v>
      </c>
      <c r="D388" s="10">
        <v>331.5</v>
      </c>
      <c r="E388" s="10">
        <v>331.5</v>
      </c>
      <c r="F388" s="10">
        <v>0.89</v>
      </c>
      <c r="G388" s="22">
        <f t="shared" ref="G388:G451" si="24">E388/1000+G387</f>
        <v>118.79146000000003</v>
      </c>
      <c r="H388" s="21" t="s">
        <v>381</v>
      </c>
      <c r="I388" s="9"/>
      <c r="K388"/>
      <c r="L388" s="7">
        <f t="shared" si="23"/>
        <v>331.5</v>
      </c>
      <c r="M388" s="6"/>
      <c r="R388" s="7"/>
      <c r="S388" s="7"/>
    </row>
    <row r="389" spans="1:19" ht="14" x14ac:dyDescent="0.15">
      <c r="A389" s="21">
        <v>385</v>
      </c>
      <c r="B389" s="9" t="s">
        <v>410</v>
      </c>
      <c r="C389" s="9" t="s">
        <v>23</v>
      </c>
      <c r="D389" s="10">
        <v>306.02</v>
      </c>
      <c r="E389" s="10">
        <v>306.02</v>
      </c>
      <c r="F389" s="10">
        <v>0.3</v>
      </c>
      <c r="G389" s="22">
        <f t="shared" si="24"/>
        <v>119.09748000000003</v>
      </c>
      <c r="H389" s="21" t="s">
        <v>381</v>
      </c>
      <c r="I389" s="9"/>
      <c r="K389"/>
      <c r="L389" s="7">
        <f t="shared" si="23"/>
        <v>306.02</v>
      </c>
      <c r="M389" s="6"/>
      <c r="R389" s="7"/>
      <c r="S389" s="7"/>
    </row>
    <row r="390" spans="1:19" ht="14" x14ac:dyDescent="0.15">
      <c r="A390" s="21">
        <v>386</v>
      </c>
      <c r="B390" s="9" t="s">
        <v>411</v>
      </c>
      <c r="C390" s="9" t="s">
        <v>23</v>
      </c>
      <c r="D390" s="10">
        <v>314.70999999999998</v>
      </c>
      <c r="E390" s="10">
        <v>314.70999999999998</v>
      </c>
      <c r="F390" s="10">
        <v>0.59</v>
      </c>
      <c r="G390" s="22">
        <f t="shared" si="24"/>
        <v>119.41219000000004</v>
      </c>
      <c r="H390" s="21" t="s">
        <v>381</v>
      </c>
      <c r="I390" s="9"/>
      <c r="K390"/>
      <c r="L390" s="7">
        <f t="shared" si="23"/>
        <v>314.70999999999998</v>
      </c>
      <c r="M390" s="6"/>
      <c r="R390" s="7"/>
      <c r="S390" s="7"/>
    </row>
    <row r="391" spans="1:19" ht="14" x14ac:dyDescent="0.15">
      <c r="A391" s="21">
        <v>387</v>
      </c>
      <c r="B391" s="9" t="s">
        <v>412</v>
      </c>
      <c r="C391" s="9" t="s">
        <v>23</v>
      </c>
      <c r="D391" s="10">
        <v>288.12</v>
      </c>
      <c r="E391" s="10">
        <v>288.12</v>
      </c>
      <c r="F391" s="10">
        <v>1.18</v>
      </c>
      <c r="G391" s="22">
        <f t="shared" si="24"/>
        <v>119.70031000000004</v>
      </c>
      <c r="H391" s="21" t="s">
        <v>381</v>
      </c>
      <c r="I391" s="9"/>
      <c r="K391"/>
      <c r="L391" s="7">
        <f t="shared" si="23"/>
        <v>288.12</v>
      </c>
      <c r="M391" s="6"/>
      <c r="R391" s="7"/>
      <c r="S391" s="7"/>
    </row>
    <row r="392" spans="1:19" ht="14" x14ac:dyDescent="0.15">
      <c r="A392" s="21">
        <v>388</v>
      </c>
      <c r="B392" s="9" t="s">
        <v>413</v>
      </c>
      <c r="C392" s="9" t="s">
        <v>28</v>
      </c>
      <c r="D392" s="10">
        <v>273.26</v>
      </c>
      <c r="E392" s="10">
        <v>281.76</v>
      </c>
      <c r="F392" s="10">
        <v>31.52</v>
      </c>
      <c r="G392" s="22">
        <f t="shared" si="24"/>
        <v>119.98207000000005</v>
      </c>
      <c r="H392" s="21" t="s">
        <v>381</v>
      </c>
      <c r="I392" s="9"/>
      <c r="K392" s="7">
        <f>D392+8.5</f>
        <v>281.76</v>
      </c>
      <c r="L392" s="7">
        <f t="shared" si="23"/>
        <v>281.76</v>
      </c>
      <c r="M392" s="6"/>
      <c r="R392" s="7"/>
      <c r="S392" s="7"/>
    </row>
    <row r="393" spans="1:19" ht="14" x14ac:dyDescent="0.15">
      <c r="A393" s="21">
        <v>389</v>
      </c>
      <c r="B393" s="9" t="s">
        <v>414</v>
      </c>
      <c r="C393" s="9" t="s">
        <v>23</v>
      </c>
      <c r="D393" s="10">
        <v>260.82</v>
      </c>
      <c r="E393" s="10">
        <v>260.82</v>
      </c>
      <c r="F393" s="10">
        <v>2.16</v>
      </c>
      <c r="G393" s="22">
        <f t="shared" si="24"/>
        <v>120.24289000000005</v>
      </c>
      <c r="H393" s="21" t="s">
        <v>381</v>
      </c>
      <c r="I393" s="9"/>
      <c r="K393"/>
      <c r="L393" s="7">
        <f t="shared" si="23"/>
        <v>260.82</v>
      </c>
      <c r="M393" s="6"/>
      <c r="R393" s="7"/>
      <c r="S393" s="7"/>
    </row>
    <row r="394" spans="1:19" ht="14" x14ac:dyDescent="0.15">
      <c r="A394" s="21">
        <v>390</v>
      </c>
      <c r="B394" s="9" t="s">
        <v>415</v>
      </c>
      <c r="C394" s="9" t="s">
        <v>19</v>
      </c>
      <c r="D394" s="10">
        <v>351.43</v>
      </c>
      <c r="E394" s="10">
        <v>359.93</v>
      </c>
      <c r="F394" s="10">
        <v>35.79</v>
      </c>
      <c r="G394" s="22">
        <f t="shared" si="24"/>
        <v>120.60282000000005</v>
      </c>
      <c r="H394" s="21" t="s">
        <v>381</v>
      </c>
      <c r="I394" s="9"/>
      <c r="K394" s="7">
        <f>D394+8.5</f>
        <v>359.93</v>
      </c>
      <c r="L394" s="7">
        <f t="shared" si="23"/>
        <v>359.93</v>
      </c>
      <c r="M394" s="6"/>
      <c r="R394" s="7"/>
      <c r="S394" s="7"/>
    </row>
    <row r="395" spans="1:19" ht="14" x14ac:dyDescent="0.15">
      <c r="A395" s="21">
        <v>391</v>
      </c>
      <c r="B395" s="9" t="s">
        <v>416</v>
      </c>
      <c r="C395" s="9" t="s">
        <v>23</v>
      </c>
      <c r="D395" s="10">
        <v>343.19</v>
      </c>
      <c r="E395" s="10">
        <v>343.19</v>
      </c>
      <c r="F395" s="10">
        <v>0.88</v>
      </c>
      <c r="G395" s="22">
        <f t="shared" si="24"/>
        <v>120.94601000000006</v>
      </c>
      <c r="H395" s="21" t="s">
        <v>381</v>
      </c>
      <c r="I395" s="9"/>
      <c r="K395"/>
      <c r="L395" s="7">
        <f t="shared" si="23"/>
        <v>343.19</v>
      </c>
      <c r="M395" s="6"/>
      <c r="R395" s="7"/>
      <c r="S395" s="7"/>
    </row>
    <row r="396" spans="1:19" ht="14" x14ac:dyDescent="0.15">
      <c r="A396" s="21">
        <v>392</v>
      </c>
      <c r="B396" s="9" t="s">
        <v>417</v>
      </c>
      <c r="C396" s="9" t="s">
        <v>23</v>
      </c>
      <c r="D396" s="10">
        <v>282.14999999999998</v>
      </c>
      <c r="E396" s="10">
        <v>282.14999999999998</v>
      </c>
      <c r="F396" s="10">
        <v>0.25</v>
      </c>
      <c r="G396" s="22">
        <f t="shared" si="24"/>
        <v>121.22816000000006</v>
      </c>
      <c r="H396" s="21" t="s">
        <v>381</v>
      </c>
      <c r="I396" s="9"/>
      <c r="K396"/>
      <c r="L396" s="7">
        <f t="shared" si="23"/>
        <v>282.14999999999998</v>
      </c>
      <c r="M396" s="6"/>
      <c r="R396" s="7"/>
      <c r="S396" s="7"/>
    </row>
    <row r="397" spans="1:19" ht="14" x14ac:dyDescent="0.15">
      <c r="A397" s="21">
        <v>393</v>
      </c>
      <c r="B397" s="9" t="s">
        <v>418</v>
      </c>
      <c r="C397" s="9" t="s">
        <v>28</v>
      </c>
      <c r="D397" s="10">
        <v>300.8</v>
      </c>
      <c r="E397" s="10">
        <v>309.3</v>
      </c>
      <c r="F397" s="10">
        <v>18.28</v>
      </c>
      <c r="G397" s="22">
        <f t="shared" si="24"/>
        <v>121.53746000000005</v>
      </c>
      <c r="H397" s="21" t="s">
        <v>381</v>
      </c>
      <c r="I397" s="9"/>
      <c r="K397" s="7">
        <f>D397+8.5</f>
        <v>309.3</v>
      </c>
      <c r="L397" s="7">
        <f t="shared" si="23"/>
        <v>309.3</v>
      </c>
      <c r="M397" s="6"/>
      <c r="R397" s="7"/>
      <c r="S397" s="7"/>
    </row>
    <row r="398" spans="1:19" ht="14" x14ac:dyDescent="0.15">
      <c r="A398" s="21">
        <v>394</v>
      </c>
      <c r="B398" s="9" t="s">
        <v>419</v>
      </c>
      <c r="C398" s="9" t="s">
        <v>23</v>
      </c>
      <c r="D398" s="10">
        <v>347.36</v>
      </c>
      <c r="E398" s="10">
        <v>347.36</v>
      </c>
      <c r="F398" s="10">
        <v>0.48</v>
      </c>
      <c r="G398" s="22">
        <f t="shared" si="24"/>
        <v>121.88482000000005</v>
      </c>
      <c r="H398" s="21" t="s">
        <v>381</v>
      </c>
      <c r="I398" s="9"/>
      <c r="K398"/>
      <c r="L398" s="7">
        <f t="shared" si="23"/>
        <v>347.36</v>
      </c>
      <c r="M398" s="6"/>
      <c r="R398" s="7"/>
      <c r="S398" s="7"/>
    </row>
    <row r="399" spans="1:19" ht="14" x14ac:dyDescent="0.15">
      <c r="A399" s="21">
        <v>395</v>
      </c>
      <c r="B399" s="9" t="s">
        <v>420</v>
      </c>
      <c r="C399" s="9" t="s">
        <v>23</v>
      </c>
      <c r="D399" s="10">
        <v>331.08</v>
      </c>
      <c r="E399" s="10">
        <v>331.08</v>
      </c>
      <c r="F399" s="10">
        <v>0.18</v>
      </c>
      <c r="G399" s="22">
        <f t="shared" si="24"/>
        <v>122.21590000000005</v>
      </c>
      <c r="H399" s="21" t="s">
        <v>381</v>
      </c>
      <c r="I399" s="9"/>
      <c r="K399"/>
      <c r="L399" s="7">
        <f t="shared" si="23"/>
        <v>331.08</v>
      </c>
      <c r="M399" s="6"/>
      <c r="R399" s="7"/>
      <c r="S399" s="7"/>
    </row>
    <row r="400" spans="1:19" ht="14" x14ac:dyDescent="0.15">
      <c r="A400" s="21">
        <v>396</v>
      </c>
      <c r="B400" s="9" t="s">
        <v>421</v>
      </c>
      <c r="C400" s="9" t="s">
        <v>23</v>
      </c>
      <c r="D400" s="10">
        <v>265.88</v>
      </c>
      <c r="E400" s="10">
        <v>265.88</v>
      </c>
      <c r="F400" s="10">
        <v>0.18</v>
      </c>
      <c r="G400" s="22">
        <f t="shared" si="24"/>
        <v>122.48178000000004</v>
      </c>
      <c r="H400" s="21" t="s">
        <v>381</v>
      </c>
      <c r="I400" s="9"/>
      <c r="K400"/>
      <c r="L400" s="7">
        <f t="shared" si="23"/>
        <v>265.88</v>
      </c>
      <c r="M400" s="6"/>
      <c r="R400" s="7"/>
      <c r="S400" s="7"/>
    </row>
    <row r="401" spans="1:19" ht="14" x14ac:dyDescent="0.15">
      <c r="A401" s="21">
        <v>397</v>
      </c>
      <c r="B401" s="9" t="s">
        <v>422</v>
      </c>
      <c r="C401" s="9" t="s">
        <v>19</v>
      </c>
      <c r="D401" s="10">
        <v>277.01</v>
      </c>
      <c r="E401" s="10">
        <v>285.51</v>
      </c>
      <c r="F401" s="10">
        <v>20.54</v>
      </c>
      <c r="G401" s="22">
        <f t="shared" si="24"/>
        <v>122.76729000000005</v>
      </c>
      <c r="H401" s="21" t="s">
        <v>381</v>
      </c>
      <c r="I401" s="9"/>
      <c r="K401" s="7">
        <f t="shared" ref="K401:K402" si="25">D401+8.5</f>
        <v>285.51</v>
      </c>
      <c r="L401" s="7">
        <f t="shared" si="23"/>
        <v>285.51</v>
      </c>
      <c r="M401" s="6"/>
      <c r="R401" s="7"/>
      <c r="S401" s="7"/>
    </row>
    <row r="402" spans="1:19" ht="14" x14ac:dyDescent="0.15">
      <c r="A402" s="21">
        <v>398</v>
      </c>
      <c r="B402" s="9" t="s">
        <v>423</v>
      </c>
      <c r="C402" s="9" t="s">
        <v>19</v>
      </c>
      <c r="D402" s="10">
        <v>253.24</v>
      </c>
      <c r="E402" s="10">
        <v>261.74</v>
      </c>
      <c r="F402" s="10">
        <v>30.68</v>
      </c>
      <c r="G402" s="22">
        <f t="shared" si="24"/>
        <v>123.02903000000005</v>
      </c>
      <c r="H402" s="21" t="s">
        <v>381</v>
      </c>
      <c r="I402" s="9"/>
      <c r="K402" s="7">
        <f t="shared" si="25"/>
        <v>261.74</v>
      </c>
      <c r="L402" s="7">
        <f t="shared" si="23"/>
        <v>261.74</v>
      </c>
      <c r="M402" s="6"/>
      <c r="R402" s="7"/>
      <c r="S402" s="7"/>
    </row>
    <row r="403" spans="1:19" ht="14" x14ac:dyDescent="0.15">
      <c r="A403" s="21">
        <v>399</v>
      </c>
      <c r="B403" s="9" t="s">
        <v>424</v>
      </c>
      <c r="C403" s="9" t="s">
        <v>23</v>
      </c>
      <c r="D403" s="10">
        <v>274.29000000000002</v>
      </c>
      <c r="E403" s="10">
        <v>274.29000000000002</v>
      </c>
      <c r="F403" s="10">
        <v>0.92</v>
      </c>
      <c r="G403" s="22">
        <f t="shared" si="24"/>
        <v>123.30332000000004</v>
      </c>
      <c r="H403" s="21" t="s">
        <v>381</v>
      </c>
      <c r="I403" s="9"/>
      <c r="K403"/>
      <c r="L403" s="7">
        <f t="shared" si="23"/>
        <v>274.29000000000002</v>
      </c>
      <c r="M403" s="6"/>
      <c r="R403" s="7"/>
      <c r="S403" s="7"/>
    </row>
    <row r="404" spans="1:19" ht="14" x14ac:dyDescent="0.15">
      <c r="A404" s="21">
        <v>400</v>
      </c>
      <c r="B404" s="9" t="s">
        <v>425</v>
      </c>
      <c r="C404" s="9" t="s">
        <v>28</v>
      </c>
      <c r="D404" s="10">
        <v>347.81</v>
      </c>
      <c r="E404" s="10">
        <v>356.31</v>
      </c>
      <c r="F404" s="10">
        <v>24.17</v>
      </c>
      <c r="G404" s="22">
        <f t="shared" si="24"/>
        <v>123.65963000000004</v>
      </c>
      <c r="H404" s="21" t="s">
        <v>381</v>
      </c>
      <c r="I404" s="9"/>
      <c r="K404" s="7">
        <f>D404+8.5</f>
        <v>356.31</v>
      </c>
      <c r="L404" s="7">
        <f t="shared" si="23"/>
        <v>356.31</v>
      </c>
      <c r="M404" s="6"/>
      <c r="R404" s="7"/>
      <c r="S404" s="7"/>
    </row>
    <row r="405" spans="1:19" ht="14" x14ac:dyDescent="0.15">
      <c r="A405" s="21">
        <v>401</v>
      </c>
      <c r="B405" s="9" t="s">
        <v>426</v>
      </c>
      <c r="C405" s="9" t="s">
        <v>23</v>
      </c>
      <c r="D405" s="10">
        <v>328.76</v>
      </c>
      <c r="E405" s="10">
        <v>328.76</v>
      </c>
      <c r="F405" s="10">
        <v>0.13</v>
      </c>
      <c r="G405" s="22">
        <f t="shared" si="24"/>
        <v>123.98839000000004</v>
      </c>
      <c r="H405" s="21" t="s">
        <v>381</v>
      </c>
      <c r="I405" s="9"/>
      <c r="K405"/>
      <c r="L405" s="7">
        <f t="shared" si="23"/>
        <v>328.76</v>
      </c>
      <c r="M405" s="6"/>
      <c r="R405" s="7"/>
      <c r="S405" s="7"/>
    </row>
    <row r="406" spans="1:19" ht="14" x14ac:dyDescent="0.15">
      <c r="A406" s="21">
        <v>402</v>
      </c>
      <c r="B406" s="9" t="s">
        <v>427</v>
      </c>
      <c r="C406" s="9" t="s">
        <v>23</v>
      </c>
      <c r="D406" s="10">
        <v>299.36</v>
      </c>
      <c r="E406" s="10">
        <v>299.36</v>
      </c>
      <c r="F406" s="10">
        <v>0.33</v>
      </c>
      <c r="G406" s="22">
        <f t="shared" si="24"/>
        <v>124.28775000000003</v>
      </c>
      <c r="H406" s="21" t="s">
        <v>381</v>
      </c>
      <c r="I406" s="9"/>
      <c r="K406"/>
      <c r="L406" s="7">
        <f t="shared" si="23"/>
        <v>299.36</v>
      </c>
      <c r="M406" s="6"/>
      <c r="R406" s="7"/>
      <c r="S406" s="7"/>
    </row>
    <row r="407" spans="1:19" ht="14" x14ac:dyDescent="0.15">
      <c r="A407" s="21">
        <v>403</v>
      </c>
      <c r="B407" s="9" t="s">
        <v>428</v>
      </c>
      <c r="C407" s="9" t="s">
        <v>23</v>
      </c>
      <c r="D407" s="10">
        <v>347.11</v>
      </c>
      <c r="E407" s="10">
        <v>347.11</v>
      </c>
      <c r="F407" s="10">
        <v>1.1499999999999999</v>
      </c>
      <c r="G407" s="22">
        <f t="shared" si="24"/>
        <v>124.63486000000003</v>
      </c>
      <c r="H407" s="21" t="s">
        <v>381</v>
      </c>
      <c r="I407" s="9"/>
      <c r="K407"/>
      <c r="L407" s="7">
        <f t="shared" si="23"/>
        <v>347.11</v>
      </c>
      <c r="M407" s="6"/>
      <c r="R407" s="7"/>
      <c r="S407" s="7"/>
    </row>
    <row r="408" spans="1:19" ht="14" x14ac:dyDescent="0.15">
      <c r="A408" s="21">
        <v>404</v>
      </c>
      <c r="B408" s="9" t="s">
        <v>429</v>
      </c>
      <c r="C408" s="9" t="s">
        <v>23</v>
      </c>
      <c r="D408" s="10">
        <v>346.03</v>
      </c>
      <c r="E408" s="10">
        <v>346.03</v>
      </c>
      <c r="F408" s="10">
        <v>0.17</v>
      </c>
      <c r="G408" s="22">
        <f t="shared" si="24"/>
        <v>124.98089000000003</v>
      </c>
      <c r="H408" s="21" t="s">
        <v>381</v>
      </c>
      <c r="I408" s="9"/>
      <c r="K408"/>
      <c r="L408" s="7">
        <f t="shared" si="23"/>
        <v>346.03</v>
      </c>
      <c r="M408" s="6"/>
      <c r="R408" s="7"/>
      <c r="S408" s="7"/>
    </row>
    <row r="409" spans="1:19" ht="14" x14ac:dyDescent="0.15">
      <c r="A409" s="21">
        <v>405</v>
      </c>
      <c r="B409" s="9" t="s">
        <v>430</v>
      </c>
      <c r="C409" s="9" t="s">
        <v>28</v>
      </c>
      <c r="D409" s="10">
        <v>271.76</v>
      </c>
      <c r="E409" s="10">
        <v>280.26</v>
      </c>
      <c r="F409" s="10">
        <v>23.99</v>
      </c>
      <c r="G409" s="22">
        <f t="shared" si="24"/>
        <v>125.26115000000003</v>
      </c>
      <c r="H409" s="21" t="s">
        <v>381</v>
      </c>
      <c r="I409" s="9"/>
      <c r="K409" s="7">
        <f>D409+8.5</f>
        <v>280.26</v>
      </c>
      <c r="L409" s="7">
        <f t="shared" si="23"/>
        <v>280.26</v>
      </c>
      <c r="M409" s="6"/>
      <c r="R409" s="7"/>
      <c r="S409" s="7"/>
    </row>
    <row r="410" spans="1:19" ht="14" x14ac:dyDescent="0.15">
      <c r="A410" s="21">
        <v>406</v>
      </c>
      <c r="B410" s="9" t="s">
        <v>431</v>
      </c>
      <c r="C410" s="9" t="s">
        <v>23</v>
      </c>
      <c r="D410" s="10">
        <v>290.29000000000002</v>
      </c>
      <c r="E410" s="10">
        <v>290.29000000000002</v>
      </c>
      <c r="F410" s="10">
        <v>0.69</v>
      </c>
      <c r="G410" s="22">
        <f t="shared" si="24"/>
        <v>125.55144000000003</v>
      </c>
      <c r="H410" s="21" t="s">
        <v>381</v>
      </c>
      <c r="I410" s="9"/>
      <c r="K410"/>
      <c r="L410" s="7">
        <f t="shared" si="23"/>
        <v>290.29000000000002</v>
      </c>
      <c r="M410" s="6"/>
      <c r="R410" s="7"/>
      <c r="S410" s="7"/>
    </row>
    <row r="411" spans="1:19" ht="14" x14ac:dyDescent="0.15">
      <c r="A411" s="21">
        <v>407</v>
      </c>
      <c r="B411" s="9" t="s">
        <v>432</v>
      </c>
      <c r="C411" s="9" t="s">
        <v>23</v>
      </c>
      <c r="D411" s="10">
        <v>306.11</v>
      </c>
      <c r="E411" s="10">
        <v>306.11</v>
      </c>
      <c r="F411" s="10">
        <v>0.12</v>
      </c>
      <c r="G411" s="22">
        <f t="shared" si="24"/>
        <v>125.85755000000003</v>
      </c>
      <c r="H411" s="21" t="s">
        <v>381</v>
      </c>
      <c r="I411" s="9"/>
      <c r="K411"/>
      <c r="L411" s="7">
        <f t="shared" si="23"/>
        <v>306.11</v>
      </c>
      <c r="M411" s="6"/>
      <c r="R411" s="7"/>
      <c r="S411" s="7"/>
    </row>
    <row r="412" spans="1:19" ht="14" x14ac:dyDescent="0.15">
      <c r="A412" s="21">
        <v>408</v>
      </c>
      <c r="B412" s="9" t="s">
        <v>433</v>
      </c>
      <c r="C412" s="9" t="s">
        <v>23</v>
      </c>
      <c r="D412" s="10">
        <v>328.82</v>
      </c>
      <c r="E412" s="10">
        <v>328.82</v>
      </c>
      <c r="F412" s="10">
        <v>0.34</v>
      </c>
      <c r="G412" s="22">
        <f t="shared" si="24"/>
        <v>126.18637000000003</v>
      </c>
      <c r="H412" s="21" t="s">
        <v>381</v>
      </c>
      <c r="I412" s="9"/>
      <c r="K412"/>
      <c r="L412" s="7">
        <f t="shared" si="23"/>
        <v>328.82</v>
      </c>
      <c r="M412" s="6"/>
      <c r="R412" s="7"/>
      <c r="S412" s="7"/>
    </row>
    <row r="413" spans="1:19" ht="14" x14ac:dyDescent="0.15">
      <c r="A413" s="21">
        <v>409</v>
      </c>
      <c r="B413" s="9" t="s">
        <v>434</v>
      </c>
      <c r="C413" s="9" t="s">
        <v>23</v>
      </c>
      <c r="D413" s="10">
        <v>384.89</v>
      </c>
      <c r="E413" s="10">
        <v>384.89</v>
      </c>
      <c r="F413" s="10">
        <v>0.12</v>
      </c>
      <c r="G413" s="22">
        <f t="shared" si="24"/>
        <v>126.57126000000002</v>
      </c>
      <c r="H413" s="21" t="s">
        <v>381</v>
      </c>
      <c r="I413" s="9"/>
      <c r="K413"/>
      <c r="L413" s="7">
        <f t="shared" si="23"/>
        <v>384.89</v>
      </c>
      <c r="M413" s="6"/>
      <c r="R413" s="7"/>
      <c r="S413" s="7"/>
    </row>
    <row r="414" spans="1:19" ht="14" x14ac:dyDescent="0.15">
      <c r="A414" s="21">
        <v>410</v>
      </c>
      <c r="B414" s="9" t="s">
        <v>435</v>
      </c>
      <c r="C414" s="9" t="s">
        <v>23</v>
      </c>
      <c r="D414" s="10">
        <v>341.56</v>
      </c>
      <c r="E414" s="10">
        <v>341.56</v>
      </c>
      <c r="F414" s="10">
        <v>1.19</v>
      </c>
      <c r="G414" s="22">
        <f t="shared" si="24"/>
        <v>126.91282000000002</v>
      </c>
      <c r="H414" s="21" t="s">
        <v>381</v>
      </c>
      <c r="I414" s="9"/>
      <c r="K414"/>
      <c r="L414" s="7">
        <f t="shared" si="23"/>
        <v>341.56</v>
      </c>
      <c r="M414" s="6"/>
      <c r="R414" s="7"/>
      <c r="S414" s="7"/>
    </row>
    <row r="415" spans="1:19" ht="14" x14ac:dyDescent="0.15">
      <c r="A415" s="21">
        <v>411</v>
      </c>
      <c r="B415" s="9" t="s">
        <v>436</v>
      </c>
      <c r="C415" s="9" t="s">
        <v>16</v>
      </c>
      <c r="D415" s="10">
        <v>268.04000000000002</v>
      </c>
      <c r="E415" s="10">
        <v>268.04000000000002</v>
      </c>
      <c r="F415" s="10">
        <v>16.91</v>
      </c>
      <c r="G415" s="22">
        <f t="shared" si="24"/>
        <v>127.18086000000002</v>
      </c>
      <c r="H415" s="21" t="s">
        <v>381</v>
      </c>
      <c r="I415" s="9"/>
      <c r="K415"/>
      <c r="L415" s="7">
        <f t="shared" si="23"/>
        <v>268.04000000000002</v>
      </c>
      <c r="M415" s="6"/>
      <c r="R415" s="7"/>
      <c r="S415" s="7"/>
    </row>
    <row r="416" spans="1:19" ht="14" x14ac:dyDescent="0.15">
      <c r="A416" s="21">
        <v>412</v>
      </c>
      <c r="B416" s="9" t="s">
        <v>437</v>
      </c>
      <c r="C416" s="9" t="s">
        <v>23</v>
      </c>
      <c r="D416" s="10">
        <v>286.11</v>
      </c>
      <c r="E416" s="10">
        <v>286.11</v>
      </c>
      <c r="F416" s="10">
        <v>1.05</v>
      </c>
      <c r="G416" s="22">
        <f t="shared" si="24"/>
        <v>127.46697000000002</v>
      </c>
      <c r="H416" s="21" t="s">
        <v>381</v>
      </c>
      <c r="I416" s="9"/>
      <c r="K416"/>
      <c r="L416" s="7">
        <f t="shared" si="23"/>
        <v>286.11</v>
      </c>
      <c r="M416" s="6"/>
      <c r="R416" s="7"/>
      <c r="S416" s="7"/>
    </row>
    <row r="417" spans="1:19" ht="14" x14ac:dyDescent="0.15">
      <c r="A417" s="21">
        <v>413</v>
      </c>
      <c r="B417" s="9" t="s">
        <v>438</v>
      </c>
      <c r="C417" s="9" t="s">
        <v>23</v>
      </c>
      <c r="D417" s="10">
        <v>332.26</v>
      </c>
      <c r="E417" s="10">
        <v>332.26</v>
      </c>
      <c r="F417" s="10">
        <v>0.03</v>
      </c>
      <c r="G417" s="22">
        <f t="shared" si="24"/>
        <v>127.79923000000002</v>
      </c>
      <c r="H417" s="21" t="s">
        <v>381</v>
      </c>
      <c r="I417" s="9"/>
      <c r="K417"/>
      <c r="L417" s="7">
        <f t="shared" si="23"/>
        <v>332.26</v>
      </c>
      <c r="M417" s="6"/>
      <c r="R417" s="7"/>
      <c r="S417" s="7"/>
    </row>
    <row r="418" spans="1:19" ht="14" x14ac:dyDescent="0.15">
      <c r="A418" s="21">
        <v>414</v>
      </c>
      <c r="B418" s="9" t="s">
        <v>439</v>
      </c>
      <c r="C418" s="9" t="s">
        <v>23</v>
      </c>
      <c r="D418" s="10">
        <v>338.84</v>
      </c>
      <c r="E418" s="10">
        <v>338.84</v>
      </c>
      <c r="F418" s="10">
        <v>1.1200000000000001</v>
      </c>
      <c r="G418" s="22">
        <f t="shared" si="24"/>
        <v>128.13807000000003</v>
      </c>
      <c r="H418" s="21" t="s">
        <v>381</v>
      </c>
      <c r="I418" s="9"/>
      <c r="K418"/>
      <c r="L418" s="7">
        <f t="shared" si="23"/>
        <v>338.84</v>
      </c>
      <c r="M418" s="6"/>
      <c r="R418" s="7"/>
      <c r="S418" s="7"/>
    </row>
    <row r="419" spans="1:19" ht="14" x14ac:dyDescent="0.15">
      <c r="A419" s="21">
        <v>415</v>
      </c>
      <c r="B419" s="9" t="s">
        <v>440</v>
      </c>
      <c r="C419" s="9" t="s">
        <v>16</v>
      </c>
      <c r="D419" s="10">
        <v>364.89</v>
      </c>
      <c r="E419" s="10">
        <v>364.89</v>
      </c>
      <c r="F419" s="10">
        <v>9.0399999999999991</v>
      </c>
      <c r="G419" s="22">
        <f t="shared" si="24"/>
        <v>128.50296000000003</v>
      </c>
      <c r="H419" s="21" t="s">
        <v>381</v>
      </c>
      <c r="I419" s="9"/>
      <c r="K419"/>
      <c r="L419" s="7">
        <f t="shared" si="23"/>
        <v>364.89</v>
      </c>
      <c r="M419" s="6"/>
      <c r="R419" s="7"/>
      <c r="S419" s="7"/>
    </row>
    <row r="420" spans="1:19" ht="14" x14ac:dyDescent="0.15">
      <c r="A420" s="21">
        <v>416</v>
      </c>
      <c r="B420" s="9" t="s">
        <v>441</v>
      </c>
      <c r="C420" s="9" t="s">
        <v>23</v>
      </c>
      <c r="D420" s="10">
        <v>262.02</v>
      </c>
      <c r="E420" s="10">
        <v>262.02</v>
      </c>
      <c r="F420" s="10">
        <v>0.43</v>
      </c>
      <c r="G420" s="22">
        <f t="shared" si="24"/>
        <v>128.76498000000004</v>
      </c>
      <c r="H420" s="21" t="s">
        <v>381</v>
      </c>
      <c r="I420" s="9"/>
      <c r="K420"/>
      <c r="L420" s="7">
        <f t="shared" si="23"/>
        <v>262.02</v>
      </c>
      <c r="M420" s="6"/>
      <c r="R420" s="7"/>
      <c r="S420" s="7"/>
    </row>
    <row r="421" spans="1:19" ht="14" x14ac:dyDescent="0.15">
      <c r="A421" s="21">
        <v>417</v>
      </c>
      <c r="B421" s="9" t="s">
        <v>442</v>
      </c>
      <c r="C421" s="9" t="s">
        <v>23</v>
      </c>
      <c r="D421" s="10">
        <v>339.29</v>
      </c>
      <c r="E421" s="10">
        <v>339.29</v>
      </c>
      <c r="F421" s="10">
        <v>0.02</v>
      </c>
      <c r="G421" s="22">
        <f t="shared" si="24"/>
        <v>129.10427000000004</v>
      </c>
      <c r="H421" s="21" t="s">
        <v>381</v>
      </c>
      <c r="I421" s="9"/>
      <c r="K421"/>
      <c r="L421" s="7">
        <f t="shared" si="23"/>
        <v>339.29</v>
      </c>
      <c r="M421" s="6"/>
      <c r="R421" s="7"/>
      <c r="S421" s="7"/>
    </row>
    <row r="422" spans="1:19" ht="14" x14ac:dyDescent="0.15">
      <c r="A422" s="21">
        <v>418</v>
      </c>
      <c r="B422" s="9" t="s">
        <v>443</v>
      </c>
      <c r="C422" s="9" t="s">
        <v>23</v>
      </c>
      <c r="D422" s="10">
        <v>323.41000000000003</v>
      </c>
      <c r="E422" s="10">
        <v>323.41000000000003</v>
      </c>
      <c r="F422" s="10">
        <v>0.13</v>
      </c>
      <c r="G422" s="22">
        <f t="shared" si="24"/>
        <v>129.42768000000004</v>
      </c>
      <c r="H422" s="21" t="s">
        <v>381</v>
      </c>
      <c r="I422" s="9"/>
      <c r="K422"/>
      <c r="L422" s="7">
        <f t="shared" si="23"/>
        <v>323.41000000000003</v>
      </c>
      <c r="M422" s="6"/>
      <c r="R422" s="7"/>
      <c r="S422" s="7"/>
    </row>
    <row r="423" spans="1:19" ht="14" x14ac:dyDescent="0.15">
      <c r="A423" s="21">
        <v>419</v>
      </c>
      <c r="B423" s="9" t="s">
        <v>444</v>
      </c>
      <c r="C423" s="9" t="s">
        <v>23</v>
      </c>
      <c r="D423" s="10">
        <v>263.70999999999998</v>
      </c>
      <c r="E423" s="10">
        <v>263.70999999999998</v>
      </c>
      <c r="F423" s="10">
        <v>0.24</v>
      </c>
      <c r="G423" s="22">
        <f t="shared" si="24"/>
        <v>129.69139000000004</v>
      </c>
      <c r="H423" s="21" t="s">
        <v>381</v>
      </c>
      <c r="I423" s="9"/>
      <c r="K423"/>
      <c r="L423" s="7">
        <f t="shared" si="23"/>
        <v>263.70999999999998</v>
      </c>
      <c r="M423" s="6"/>
      <c r="R423" s="7"/>
      <c r="S423" s="7"/>
    </row>
    <row r="424" spans="1:19" ht="14" x14ac:dyDescent="0.15">
      <c r="A424" s="21">
        <v>420</v>
      </c>
      <c r="B424" s="9" t="s">
        <v>445</v>
      </c>
      <c r="C424" s="9" t="s">
        <v>23</v>
      </c>
      <c r="D424" s="10">
        <v>335.75</v>
      </c>
      <c r="E424" s="10">
        <v>335.75</v>
      </c>
      <c r="F424" s="10">
        <v>0.27</v>
      </c>
      <c r="G424" s="22">
        <f t="shared" si="24"/>
        <v>130.02714000000003</v>
      </c>
      <c r="H424" s="21" t="s">
        <v>381</v>
      </c>
      <c r="I424" s="9"/>
      <c r="K424"/>
      <c r="L424" s="7">
        <f t="shared" si="23"/>
        <v>335.75</v>
      </c>
      <c r="M424" s="6"/>
      <c r="R424" s="7"/>
      <c r="S424" s="7"/>
    </row>
    <row r="425" spans="1:19" ht="14" x14ac:dyDescent="0.15">
      <c r="A425" s="21">
        <v>421</v>
      </c>
      <c r="B425" s="9" t="s">
        <v>446</v>
      </c>
      <c r="C425" s="9" t="s">
        <v>23</v>
      </c>
      <c r="D425" s="10">
        <v>344.46</v>
      </c>
      <c r="E425" s="10">
        <v>344.46</v>
      </c>
      <c r="F425" s="10">
        <v>0.03</v>
      </c>
      <c r="G425" s="22">
        <f t="shared" si="24"/>
        <v>130.37160000000003</v>
      </c>
      <c r="H425" s="21" t="s">
        <v>381</v>
      </c>
      <c r="I425" s="9"/>
      <c r="K425"/>
      <c r="L425" s="7">
        <f t="shared" si="23"/>
        <v>344.46</v>
      </c>
      <c r="M425" s="6"/>
      <c r="R425" s="7"/>
      <c r="S425" s="7"/>
    </row>
    <row r="426" spans="1:19" ht="14" x14ac:dyDescent="0.15">
      <c r="A426" s="21">
        <v>422</v>
      </c>
      <c r="B426" s="9" t="s">
        <v>447</v>
      </c>
      <c r="C426" s="9" t="s">
        <v>23</v>
      </c>
      <c r="D426" s="10">
        <v>297.45</v>
      </c>
      <c r="E426" s="10">
        <v>297.45</v>
      </c>
      <c r="F426" s="10">
        <v>0.15</v>
      </c>
      <c r="G426" s="22">
        <f t="shared" si="24"/>
        <v>130.66905000000003</v>
      </c>
      <c r="H426" s="21" t="s">
        <v>381</v>
      </c>
      <c r="I426" s="9"/>
      <c r="K426"/>
      <c r="L426" s="7">
        <f t="shared" si="23"/>
        <v>297.45</v>
      </c>
      <c r="M426" s="6"/>
      <c r="R426" s="7"/>
      <c r="S426" s="7"/>
    </row>
    <row r="427" spans="1:19" ht="14" x14ac:dyDescent="0.15">
      <c r="A427" s="21">
        <v>423</v>
      </c>
      <c r="B427" s="9" t="s">
        <v>448</v>
      </c>
      <c r="C427" s="9" t="s">
        <v>23</v>
      </c>
      <c r="D427" s="10">
        <v>333.92</v>
      </c>
      <c r="E427" s="10">
        <v>333.92</v>
      </c>
      <c r="F427" s="10">
        <v>0.56999999999999995</v>
      </c>
      <c r="G427" s="22">
        <f t="shared" si="24"/>
        <v>131.00297000000003</v>
      </c>
      <c r="H427" s="21" t="s">
        <v>381</v>
      </c>
      <c r="I427" s="9"/>
      <c r="K427"/>
      <c r="L427" s="7">
        <f t="shared" si="23"/>
        <v>333.92</v>
      </c>
      <c r="M427" s="6"/>
      <c r="R427" s="7"/>
      <c r="S427" s="7"/>
    </row>
    <row r="428" spans="1:19" ht="14" x14ac:dyDescent="0.15">
      <c r="A428" s="21">
        <v>424</v>
      </c>
      <c r="B428" s="9" t="s">
        <v>449</v>
      </c>
      <c r="C428" s="9" t="s">
        <v>23</v>
      </c>
      <c r="D428" s="10">
        <v>288.56</v>
      </c>
      <c r="E428" s="10">
        <v>288.56</v>
      </c>
      <c r="F428" s="10">
        <v>0.32</v>
      </c>
      <c r="G428" s="22">
        <f t="shared" si="24"/>
        <v>131.29153000000002</v>
      </c>
      <c r="H428" s="21" t="s">
        <v>381</v>
      </c>
      <c r="I428" s="9"/>
      <c r="K428"/>
      <c r="L428" s="7">
        <f t="shared" si="23"/>
        <v>288.56</v>
      </c>
      <c r="M428" s="6"/>
      <c r="R428" s="7"/>
      <c r="S428" s="7"/>
    </row>
    <row r="429" spans="1:19" ht="14" x14ac:dyDescent="0.15">
      <c r="A429" s="21">
        <v>425</v>
      </c>
      <c r="B429" s="9" t="s">
        <v>450</v>
      </c>
      <c r="C429" s="9" t="s">
        <v>16</v>
      </c>
      <c r="D429" s="10">
        <v>342.34</v>
      </c>
      <c r="E429" s="10">
        <v>342.34</v>
      </c>
      <c r="F429" s="10">
        <v>4.96</v>
      </c>
      <c r="G429" s="22">
        <f t="shared" si="24"/>
        <v>131.63387000000003</v>
      </c>
      <c r="H429" s="21" t="s">
        <v>381</v>
      </c>
      <c r="I429" s="9"/>
      <c r="K429"/>
      <c r="L429" s="7">
        <f t="shared" si="23"/>
        <v>342.34</v>
      </c>
      <c r="M429" s="6"/>
      <c r="R429" s="7"/>
      <c r="S429" s="7"/>
    </row>
    <row r="430" spans="1:19" ht="14" x14ac:dyDescent="0.15">
      <c r="A430" s="21">
        <v>426</v>
      </c>
      <c r="B430" s="9" t="s">
        <v>451</v>
      </c>
      <c r="C430" s="9" t="s">
        <v>23</v>
      </c>
      <c r="D430" s="10">
        <v>360.44</v>
      </c>
      <c r="E430" s="10">
        <v>360.44</v>
      </c>
      <c r="F430" s="10">
        <v>1.3</v>
      </c>
      <c r="G430" s="22">
        <f t="shared" si="24"/>
        <v>131.99431000000004</v>
      </c>
      <c r="H430" s="21" t="s">
        <v>381</v>
      </c>
      <c r="I430" s="9"/>
      <c r="K430"/>
      <c r="L430" s="7">
        <f t="shared" si="23"/>
        <v>360.44</v>
      </c>
      <c r="M430" s="6"/>
      <c r="R430" s="7"/>
      <c r="S430" s="7"/>
    </row>
    <row r="431" spans="1:19" ht="14" x14ac:dyDescent="0.15">
      <c r="A431" s="21">
        <v>427</v>
      </c>
      <c r="B431" s="9" t="s">
        <v>452</v>
      </c>
      <c r="C431" s="9" t="s">
        <v>23</v>
      </c>
      <c r="D431" s="10">
        <v>348.83</v>
      </c>
      <c r="E431" s="10">
        <v>348.83</v>
      </c>
      <c r="F431" s="10">
        <v>0.17</v>
      </c>
      <c r="G431" s="22">
        <f t="shared" si="24"/>
        <v>132.34314000000003</v>
      </c>
      <c r="H431" s="21" t="s">
        <v>381</v>
      </c>
      <c r="I431" s="9"/>
      <c r="K431"/>
      <c r="L431" s="7">
        <f t="shared" si="23"/>
        <v>348.83</v>
      </c>
      <c r="M431" s="6"/>
      <c r="R431" s="7"/>
      <c r="S431" s="7"/>
    </row>
    <row r="432" spans="1:19" ht="14" x14ac:dyDescent="0.15">
      <c r="A432" s="21">
        <v>428</v>
      </c>
      <c r="B432" s="9" t="s">
        <v>453</v>
      </c>
      <c r="C432" s="9" t="s">
        <v>28</v>
      </c>
      <c r="D432" s="10">
        <v>349.77</v>
      </c>
      <c r="E432" s="10">
        <v>358.27</v>
      </c>
      <c r="F432" s="10">
        <v>17.68</v>
      </c>
      <c r="G432" s="22">
        <f t="shared" si="24"/>
        <v>132.70141000000004</v>
      </c>
      <c r="H432" s="21" t="s">
        <v>381</v>
      </c>
      <c r="I432" s="9"/>
      <c r="K432" s="7">
        <f>D432+8.5</f>
        <v>358.27</v>
      </c>
      <c r="L432" s="7">
        <f t="shared" si="23"/>
        <v>358.27</v>
      </c>
      <c r="M432" s="6"/>
      <c r="R432" s="7"/>
      <c r="S432" s="7"/>
    </row>
    <row r="433" spans="1:19" ht="14" x14ac:dyDescent="0.15">
      <c r="A433" s="21">
        <v>429</v>
      </c>
      <c r="B433" s="9" t="s">
        <v>454</v>
      </c>
      <c r="C433" s="9" t="s">
        <v>23</v>
      </c>
      <c r="D433" s="10">
        <v>327.2</v>
      </c>
      <c r="E433" s="10">
        <v>327.2</v>
      </c>
      <c r="F433" s="10">
        <v>0.67</v>
      </c>
      <c r="G433" s="22">
        <f t="shared" si="24"/>
        <v>133.02861000000004</v>
      </c>
      <c r="H433" s="21" t="s">
        <v>381</v>
      </c>
      <c r="I433" s="9"/>
      <c r="K433"/>
      <c r="L433" s="7">
        <f t="shared" si="23"/>
        <v>327.2</v>
      </c>
      <c r="M433" s="6"/>
      <c r="R433" s="7"/>
      <c r="S433" s="7"/>
    </row>
    <row r="434" spans="1:19" ht="42" x14ac:dyDescent="0.15">
      <c r="A434" s="22">
        <v>430</v>
      </c>
      <c r="B434" s="9" t="s">
        <v>455</v>
      </c>
      <c r="C434" s="9" t="s">
        <v>23</v>
      </c>
      <c r="D434" s="10">
        <v>360.43</v>
      </c>
      <c r="E434" s="10">
        <v>360.43</v>
      </c>
      <c r="F434" s="10">
        <v>0.64</v>
      </c>
      <c r="G434" s="22">
        <f t="shared" si="24"/>
        <v>133.38904000000005</v>
      </c>
      <c r="H434" s="22" t="s">
        <v>456</v>
      </c>
      <c r="I434" s="22" t="s">
        <v>692</v>
      </c>
      <c r="K434"/>
      <c r="L434" s="7">
        <f t="shared" si="23"/>
        <v>360.43</v>
      </c>
      <c r="M434" s="6"/>
      <c r="R434" s="7"/>
      <c r="S434" s="7"/>
    </row>
    <row r="435" spans="1:19" ht="14" x14ac:dyDescent="0.15">
      <c r="A435" s="21">
        <v>431</v>
      </c>
      <c r="B435" s="9" t="s">
        <v>458</v>
      </c>
      <c r="C435" s="9" t="s">
        <v>23</v>
      </c>
      <c r="D435" s="10">
        <v>317.61</v>
      </c>
      <c r="E435" s="10">
        <v>317.61</v>
      </c>
      <c r="F435" s="10">
        <v>0.28999999999999998</v>
      </c>
      <c r="G435" s="22">
        <f t="shared" si="24"/>
        <v>133.70665000000005</v>
      </c>
      <c r="H435" s="21" t="s">
        <v>456</v>
      </c>
      <c r="I435" s="9"/>
      <c r="K435"/>
      <c r="L435" s="7">
        <f t="shared" si="23"/>
        <v>317.61</v>
      </c>
      <c r="M435" s="6"/>
      <c r="R435" s="7"/>
      <c r="S435" s="7"/>
    </row>
    <row r="436" spans="1:19" ht="14" x14ac:dyDescent="0.15">
      <c r="A436" s="21">
        <v>432</v>
      </c>
      <c r="B436" s="9" t="s">
        <v>459</v>
      </c>
      <c r="C436" s="9" t="s">
        <v>23</v>
      </c>
      <c r="D436" s="10">
        <v>322.23</v>
      </c>
      <c r="E436" s="10">
        <v>322.23</v>
      </c>
      <c r="F436" s="10">
        <v>0.26</v>
      </c>
      <c r="G436" s="22">
        <f t="shared" si="24"/>
        <v>134.02888000000004</v>
      </c>
      <c r="H436" s="21" t="s">
        <v>456</v>
      </c>
      <c r="I436" s="9"/>
      <c r="K436"/>
      <c r="L436" s="7">
        <f t="shared" si="23"/>
        <v>322.23</v>
      </c>
      <c r="M436" s="6"/>
      <c r="R436" s="7"/>
      <c r="S436" s="7"/>
    </row>
    <row r="437" spans="1:19" ht="14" x14ac:dyDescent="0.15">
      <c r="A437" s="21">
        <v>433</v>
      </c>
      <c r="B437" s="9" t="s">
        <v>460</v>
      </c>
      <c r="C437" s="9" t="s">
        <v>16</v>
      </c>
      <c r="D437" s="10">
        <v>267.82</v>
      </c>
      <c r="E437" s="10">
        <v>267.82</v>
      </c>
      <c r="F437" s="10">
        <v>6</v>
      </c>
      <c r="G437" s="22">
        <f t="shared" si="24"/>
        <v>134.29670000000004</v>
      </c>
      <c r="H437" s="21" t="s">
        <v>456</v>
      </c>
      <c r="I437" s="9"/>
      <c r="K437"/>
      <c r="L437" s="7">
        <f t="shared" si="23"/>
        <v>267.82</v>
      </c>
      <c r="M437" s="6"/>
      <c r="R437" s="7"/>
      <c r="S437" s="7"/>
    </row>
    <row r="438" spans="1:19" ht="14" x14ac:dyDescent="0.15">
      <c r="A438" s="21">
        <v>434</v>
      </c>
      <c r="B438" s="9" t="s">
        <v>461</v>
      </c>
      <c r="C438" s="9" t="s">
        <v>23</v>
      </c>
      <c r="D438" s="10">
        <v>356.55</v>
      </c>
      <c r="E438" s="10">
        <v>356.55</v>
      </c>
      <c r="F438" s="10">
        <v>0.75</v>
      </c>
      <c r="G438" s="22">
        <f t="shared" si="24"/>
        <v>134.65325000000004</v>
      </c>
      <c r="H438" s="21" t="s">
        <v>456</v>
      </c>
      <c r="I438" s="9"/>
      <c r="K438"/>
      <c r="L438" s="7">
        <f t="shared" si="23"/>
        <v>356.55</v>
      </c>
      <c r="M438" s="6"/>
      <c r="R438" s="7"/>
      <c r="S438" s="7"/>
    </row>
    <row r="439" spans="1:19" ht="14" x14ac:dyDescent="0.15">
      <c r="A439" s="21">
        <v>435</v>
      </c>
      <c r="B439" s="9" t="s">
        <v>462</v>
      </c>
      <c r="C439" s="9" t="s">
        <v>23</v>
      </c>
      <c r="D439" s="10">
        <v>297.33999999999997</v>
      </c>
      <c r="E439" s="10">
        <v>297.33999999999997</v>
      </c>
      <c r="F439" s="10">
        <v>0.06</v>
      </c>
      <c r="G439" s="22">
        <f t="shared" si="24"/>
        <v>134.95059000000003</v>
      </c>
      <c r="H439" s="21" t="s">
        <v>456</v>
      </c>
      <c r="I439" s="9"/>
      <c r="K439"/>
      <c r="L439" s="7">
        <f t="shared" si="23"/>
        <v>297.33999999999997</v>
      </c>
      <c r="M439" s="6"/>
      <c r="R439" s="7"/>
      <c r="S439" s="7"/>
    </row>
    <row r="440" spans="1:19" ht="14" x14ac:dyDescent="0.15">
      <c r="A440" s="21">
        <v>436</v>
      </c>
      <c r="B440" s="9" t="s">
        <v>463</v>
      </c>
      <c r="C440" s="9" t="s">
        <v>23</v>
      </c>
      <c r="D440" s="10">
        <v>347.09</v>
      </c>
      <c r="E440" s="10">
        <v>347.09</v>
      </c>
      <c r="F440" s="10">
        <v>0.03</v>
      </c>
      <c r="G440" s="22">
        <f t="shared" si="24"/>
        <v>135.29768000000004</v>
      </c>
      <c r="H440" s="21" t="s">
        <v>456</v>
      </c>
      <c r="I440" s="9"/>
      <c r="K440"/>
      <c r="L440" s="7">
        <f t="shared" si="23"/>
        <v>347.09</v>
      </c>
      <c r="M440" s="6"/>
      <c r="R440" s="7"/>
      <c r="S440" s="7"/>
    </row>
    <row r="441" spans="1:19" ht="14" x14ac:dyDescent="0.15">
      <c r="A441" s="21">
        <v>437</v>
      </c>
      <c r="B441" s="9" t="s">
        <v>464</v>
      </c>
      <c r="C441" s="9" t="s">
        <v>28</v>
      </c>
      <c r="D441" s="10">
        <v>360.72</v>
      </c>
      <c r="E441" s="10">
        <v>369.22</v>
      </c>
      <c r="F441" s="10">
        <v>17.79</v>
      </c>
      <c r="G441" s="22">
        <f t="shared" si="24"/>
        <v>135.66690000000006</v>
      </c>
      <c r="H441" s="21" t="s">
        <v>456</v>
      </c>
      <c r="I441" s="9"/>
      <c r="K441" s="7">
        <f>D441+8.5</f>
        <v>369.22</v>
      </c>
      <c r="L441" s="7">
        <f t="shared" si="23"/>
        <v>369.22</v>
      </c>
      <c r="M441" s="6"/>
      <c r="R441" s="7"/>
      <c r="S441" s="7"/>
    </row>
    <row r="442" spans="1:19" ht="14" x14ac:dyDescent="0.15">
      <c r="A442" s="21">
        <v>438</v>
      </c>
      <c r="B442" s="9" t="s">
        <v>465</v>
      </c>
      <c r="C442" s="9" t="s">
        <v>23</v>
      </c>
      <c r="D442" s="10">
        <v>293.18</v>
      </c>
      <c r="E442" s="10">
        <v>293.18</v>
      </c>
      <c r="F442" s="10">
        <v>0.3</v>
      </c>
      <c r="G442" s="22">
        <f t="shared" si="24"/>
        <v>135.96008000000006</v>
      </c>
      <c r="H442" s="21" t="s">
        <v>456</v>
      </c>
      <c r="I442" s="9"/>
      <c r="K442"/>
      <c r="L442" s="7">
        <f t="shared" si="23"/>
        <v>293.18</v>
      </c>
      <c r="M442" s="6"/>
      <c r="R442" s="7"/>
      <c r="S442" s="7"/>
    </row>
    <row r="443" spans="1:19" ht="14" x14ac:dyDescent="0.15">
      <c r="A443" s="21">
        <v>439</v>
      </c>
      <c r="B443" s="9" t="s">
        <v>466</v>
      </c>
      <c r="C443" s="9" t="s">
        <v>16</v>
      </c>
      <c r="D443" s="10">
        <v>253.29</v>
      </c>
      <c r="E443" s="10">
        <v>253.29</v>
      </c>
      <c r="F443" s="10">
        <v>9.68</v>
      </c>
      <c r="G443" s="22">
        <f t="shared" si="24"/>
        <v>136.21337000000005</v>
      </c>
      <c r="H443" s="21" t="s">
        <v>456</v>
      </c>
      <c r="I443" s="9"/>
      <c r="K443"/>
      <c r="L443" s="7">
        <f t="shared" si="23"/>
        <v>253.29</v>
      </c>
      <c r="M443" s="6"/>
      <c r="R443" s="7"/>
      <c r="S443" s="7"/>
    </row>
    <row r="444" spans="1:19" ht="14" x14ac:dyDescent="0.15">
      <c r="A444" s="21">
        <v>440</v>
      </c>
      <c r="B444" s="9" t="s">
        <v>467</v>
      </c>
      <c r="C444" s="9" t="s">
        <v>23</v>
      </c>
      <c r="D444" s="10">
        <v>303.35000000000002</v>
      </c>
      <c r="E444" s="10">
        <v>303.35000000000002</v>
      </c>
      <c r="F444" s="10">
        <v>0.2</v>
      </c>
      <c r="G444" s="22">
        <f t="shared" si="24"/>
        <v>136.51672000000005</v>
      </c>
      <c r="H444" s="21" t="s">
        <v>456</v>
      </c>
      <c r="I444" s="9"/>
      <c r="K444"/>
      <c r="L444" s="7">
        <f t="shared" si="23"/>
        <v>303.35000000000002</v>
      </c>
      <c r="M444" s="6"/>
      <c r="R444" s="7"/>
      <c r="S444" s="7"/>
    </row>
    <row r="445" spans="1:19" ht="14" x14ac:dyDescent="0.15">
      <c r="A445" s="21">
        <v>441</v>
      </c>
      <c r="B445" s="9" t="s">
        <v>468</v>
      </c>
      <c r="C445" s="9" t="s">
        <v>16</v>
      </c>
      <c r="D445" s="10">
        <v>322.87</v>
      </c>
      <c r="E445" s="10">
        <v>322.87</v>
      </c>
      <c r="F445" s="10">
        <v>8.6</v>
      </c>
      <c r="G445" s="22">
        <f t="shared" si="24"/>
        <v>136.83959000000004</v>
      </c>
      <c r="H445" s="21" t="s">
        <v>456</v>
      </c>
      <c r="I445" s="9"/>
      <c r="K445"/>
      <c r="L445" s="7">
        <f t="shared" si="23"/>
        <v>322.87</v>
      </c>
      <c r="M445" s="6"/>
      <c r="R445" s="7"/>
      <c r="S445" s="7"/>
    </row>
    <row r="446" spans="1:19" ht="14" x14ac:dyDescent="0.15">
      <c r="A446" s="21">
        <v>442</v>
      </c>
      <c r="B446" s="9" t="s">
        <v>469</v>
      </c>
      <c r="C446" s="9" t="s">
        <v>28</v>
      </c>
      <c r="D446" s="10">
        <v>291.99</v>
      </c>
      <c r="E446" s="10">
        <v>300.49</v>
      </c>
      <c r="F446" s="10">
        <v>17.510000000000002</v>
      </c>
      <c r="G446" s="22">
        <f t="shared" si="24"/>
        <v>137.14008000000004</v>
      </c>
      <c r="H446" s="21" t="s">
        <v>456</v>
      </c>
      <c r="I446" s="9"/>
      <c r="K446" s="7">
        <f t="shared" ref="K446:K447" si="26">D446+8.5</f>
        <v>300.49</v>
      </c>
      <c r="L446" s="7">
        <f t="shared" si="23"/>
        <v>300.49</v>
      </c>
      <c r="M446" s="6"/>
      <c r="R446" s="7"/>
      <c r="S446" s="7"/>
    </row>
    <row r="447" spans="1:19" ht="14" x14ac:dyDescent="0.15">
      <c r="A447" s="21">
        <v>443</v>
      </c>
      <c r="B447" s="9" t="s">
        <v>470</v>
      </c>
      <c r="C447" s="9" t="s">
        <v>28</v>
      </c>
      <c r="D447" s="10">
        <v>350.61</v>
      </c>
      <c r="E447" s="10">
        <v>359.11</v>
      </c>
      <c r="F447" s="10">
        <v>31</v>
      </c>
      <c r="G447" s="22">
        <f t="shared" si="24"/>
        <v>137.49919000000003</v>
      </c>
      <c r="H447" s="21" t="s">
        <v>456</v>
      </c>
      <c r="I447" s="9"/>
      <c r="K447" s="7">
        <f t="shared" si="26"/>
        <v>359.11</v>
      </c>
      <c r="L447" s="7">
        <f t="shared" si="23"/>
        <v>359.11</v>
      </c>
      <c r="M447" s="6"/>
      <c r="R447" s="7"/>
      <c r="S447" s="7"/>
    </row>
    <row r="448" spans="1:19" ht="14" x14ac:dyDescent="0.15">
      <c r="A448" s="21">
        <v>444</v>
      </c>
      <c r="B448" s="9" t="s">
        <v>471</v>
      </c>
      <c r="C448" s="9" t="s">
        <v>23</v>
      </c>
      <c r="D448" s="10">
        <v>264.94</v>
      </c>
      <c r="E448" s="10">
        <v>264.94</v>
      </c>
      <c r="F448" s="10">
        <v>0.92</v>
      </c>
      <c r="G448" s="22">
        <f t="shared" si="24"/>
        <v>137.76413000000002</v>
      </c>
      <c r="H448" s="21" t="s">
        <v>456</v>
      </c>
      <c r="I448" s="9"/>
      <c r="K448"/>
      <c r="L448" s="7">
        <f t="shared" si="23"/>
        <v>264.94</v>
      </c>
      <c r="M448" s="6"/>
      <c r="R448" s="7"/>
      <c r="S448" s="7"/>
    </row>
    <row r="449" spans="1:19" ht="14" x14ac:dyDescent="0.15">
      <c r="A449" s="21">
        <v>445</v>
      </c>
      <c r="B449" s="9" t="s">
        <v>472</v>
      </c>
      <c r="C449" s="9" t="s">
        <v>19</v>
      </c>
      <c r="D449" s="10">
        <v>321.69</v>
      </c>
      <c r="E449" s="10">
        <v>330.19</v>
      </c>
      <c r="F449" s="10">
        <v>33.340000000000003</v>
      </c>
      <c r="G449" s="22">
        <f t="shared" si="24"/>
        <v>138.09432000000001</v>
      </c>
      <c r="H449" s="21" t="s">
        <v>456</v>
      </c>
      <c r="I449" s="9"/>
      <c r="K449" s="7">
        <f>D449+8.5</f>
        <v>330.19</v>
      </c>
      <c r="L449" s="7">
        <f t="shared" si="23"/>
        <v>330.19</v>
      </c>
      <c r="M449" s="6"/>
      <c r="R449" s="7"/>
      <c r="S449" s="7"/>
    </row>
    <row r="450" spans="1:19" ht="14" x14ac:dyDescent="0.15">
      <c r="A450" s="21">
        <v>446</v>
      </c>
      <c r="B450" s="9" t="s">
        <v>473</v>
      </c>
      <c r="C450" s="9" t="s">
        <v>23</v>
      </c>
      <c r="D450" s="10">
        <v>223.74</v>
      </c>
      <c r="E450" s="10">
        <v>223.74</v>
      </c>
      <c r="F450" s="10">
        <v>1.1599999999999999</v>
      </c>
      <c r="G450" s="22">
        <f t="shared" si="24"/>
        <v>138.31806</v>
      </c>
      <c r="H450" s="21" t="s">
        <v>456</v>
      </c>
      <c r="I450" s="9"/>
      <c r="K450"/>
      <c r="L450" s="7">
        <f t="shared" si="23"/>
        <v>223.74</v>
      </c>
      <c r="M450" s="6"/>
      <c r="R450" s="7"/>
      <c r="S450" s="7"/>
    </row>
    <row r="451" spans="1:19" ht="14" x14ac:dyDescent="0.15">
      <c r="A451" s="21">
        <v>447</v>
      </c>
      <c r="B451" s="9" t="s">
        <v>474</v>
      </c>
      <c r="C451" s="9" t="s">
        <v>28</v>
      </c>
      <c r="D451" s="10">
        <v>306.48</v>
      </c>
      <c r="E451" s="10">
        <v>314.98</v>
      </c>
      <c r="F451" s="10">
        <v>11.31</v>
      </c>
      <c r="G451" s="22">
        <f t="shared" si="24"/>
        <v>138.63303999999999</v>
      </c>
      <c r="H451" s="21" t="s">
        <v>456</v>
      </c>
      <c r="I451" s="9"/>
      <c r="K451" s="7">
        <f>D451+8.5</f>
        <v>314.98</v>
      </c>
      <c r="L451" s="7">
        <f t="shared" ref="L451:L514" si="27">IF(K451&lt;&gt;"",K451,D451)</f>
        <v>314.98</v>
      </c>
      <c r="M451" s="6"/>
      <c r="R451" s="7"/>
      <c r="S451" s="7"/>
    </row>
    <row r="452" spans="1:19" ht="14" x14ac:dyDescent="0.15">
      <c r="A452" s="21">
        <v>448</v>
      </c>
      <c r="B452" s="9" t="s">
        <v>475</v>
      </c>
      <c r="C452" s="9" t="s">
        <v>16</v>
      </c>
      <c r="D452" s="10">
        <v>237.46</v>
      </c>
      <c r="E452" s="10">
        <v>237.46</v>
      </c>
      <c r="F452" s="10">
        <v>6.03</v>
      </c>
      <c r="G452" s="22">
        <f t="shared" ref="G452:G515" si="28">E452/1000+G451</f>
        <v>138.87049999999999</v>
      </c>
      <c r="H452" s="21" t="s">
        <v>456</v>
      </c>
      <c r="I452" s="9"/>
      <c r="K452"/>
      <c r="L452" s="7">
        <f t="shared" si="27"/>
        <v>237.46</v>
      </c>
      <c r="M452" s="6"/>
      <c r="R452" s="7"/>
      <c r="S452" s="7"/>
    </row>
    <row r="453" spans="1:19" ht="14" x14ac:dyDescent="0.15">
      <c r="A453" s="21">
        <v>449</v>
      </c>
      <c r="B453" s="9" t="s">
        <v>476</v>
      </c>
      <c r="C453" s="9" t="s">
        <v>19</v>
      </c>
      <c r="D453" s="10">
        <v>131.09</v>
      </c>
      <c r="E453" s="10">
        <v>139.59</v>
      </c>
      <c r="F453" s="10">
        <v>41.2</v>
      </c>
      <c r="G453" s="22">
        <f t="shared" si="28"/>
        <v>139.01008999999999</v>
      </c>
      <c r="H453" s="21" t="s">
        <v>456</v>
      </c>
      <c r="I453" s="9"/>
      <c r="K453" s="7">
        <f t="shared" ref="K453:K454" si="29">D453+8.5</f>
        <v>139.59</v>
      </c>
      <c r="L453" s="7">
        <f t="shared" si="27"/>
        <v>139.59</v>
      </c>
      <c r="M453" s="6"/>
      <c r="R453" s="7"/>
      <c r="S453" s="7"/>
    </row>
    <row r="454" spans="1:19" ht="14" x14ac:dyDescent="0.15">
      <c r="A454" s="21">
        <v>450</v>
      </c>
      <c r="B454" s="9" t="s">
        <v>477</v>
      </c>
      <c r="C454" s="9" t="s">
        <v>19</v>
      </c>
      <c r="D454" s="10">
        <v>152.29</v>
      </c>
      <c r="E454" s="10">
        <v>160.79</v>
      </c>
      <c r="F454" s="10">
        <v>40.56</v>
      </c>
      <c r="G454" s="22">
        <f t="shared" si="28"/>
        <v>139.17087999999998</v>
      </c>
      <c r="H454" s="21" t="s">
        <v>456</v>
      </c>
      <c r="I454" s="9"/>
      <c r="K454" s="7">
        <f t="shared" si="29"/>
        <v>160.79</v>
      </c>
      <c r="L454" s="7">
        <f t="shared" si="27"/>
        <v>160.79</v>
      </c>
      <c r="M454" s="6"/>
      <c r="R454" s="7"/>
      <c r="S454" s="7"/>
    </row>
    <row r="455" spans="1:19" ht="14" x14ac:dyDescent="0.15">
      <c r="A455" s="21">
        <v>451</v>
      </c>
      <c r="B455" s="9" t="s">
        <v>478</v>
      </c>
      <c r="C455" s="9" t="s">
        <v>16</v>
      </c>
      <c r="D455" s="10">
        <v>227.29</v>
      </c>
      <c r="E455" s="10">
        <v>227.29</v>
      </c>
      <c r="F455" s="10">
        <v>0.8</v>
      </c>
      <c r="G455" s="22">
        <f t="shared" si="28"/>
        <v>139.39816999999999</v>
      </c>
      <c r="H455" s="21" t="s">
        <v>456</v>
      </c>
      <c r="I455" s="9"/>
      <c r="K455"/>
      <c r="L455" s="7">
        <f t="shared" si="27"/>
        <v>227.29</v>
      </c>
      <c r="M455" s="6"/>
      <c r="R455" s="7"/>
      <c r="S455" s="7"/>
    </row>
    <row r="456" spans="1:19" ht="14" x14ac:dyDescent="0.15">
      <c r="A456" s="21">
        <v>452</v>
      </c>
      <c r="B456" s="9" t="s">
        <v>479</v>
      </c>
      <c r="C456" s="9" t="s">
        <v>19</v>
      </c>
      <c r="D456" s="10">
        <v>301.01</v>
      </c>
      <c r="E456" s="10">
        <v>309.51</v>
      </c>
      <c r="F456" s="10">
        <v>31.4</v>
      </c>
      <c r="G456" s="22">
        <f t="shared" si="28"/>
        <v>139.70767999999998</v>
      </c>
      <c r="H456" s="21" t="s">
        <v>456</v>
      </c>
      <c r="I456" s="9"/>
      <c r="K456" s="7">
        <f>D456+8.5</f>
        <v>309.51</v>
      </c>
      <c r="L456" s="7">
        <f t="shared" si="27"/>
        <v>309.51</v>
      </c>
      <c r="M456" s="6"/>
      <c r="R456" s="7"/>
      <c r="S456" s="7"/>
    </row>
    <row r="457" spans="1:19" ht="14" x14ac:dyDescent="0.15">
      <c r="A457" s="21">
        <v>453</v>
      </c>
      <c r="B457" s="9" t="s">
        <v>480</v>
      </c>
      <c r="C457" s="9" t="s">
        <v>23</v>
      </c>
      <c r="D457" s="10">
        <v>362.43</v>
      </c>
      <c r="E457" s="10">
        <v>362.43</v>
      </c>
      <c r="F457" s="10">
        <v>0.48</v>
      </c>
      <c r="G457" s="22">
        <f t="shared" si="28"/>
        <v>140.07010999999997</v>
      </c>
      <c r="H457" s="21" t="s">
        <v>456</v>
      </c>
      <c r="I457" s="9"/>
      <c r="K457"/>
      <c r="L457" s="7">
        <f t="shared" si="27"/>
        <v>362.43</v>
      </c>
      <c r="M457" s="6"/>
      <c r="R457" s="7"/>
      <c r="S457" s="7"/>
    </row>
    <row r="458" spans="1:19" ht="14" x14ac:dyDescent="0.15">
      <c r="A458" s="21">
        <v>454</v>
      </c>
      <c r="B458" s="9" t="s">
        <v>481</v>
      </c>
      <c r="C458" s="9" t="s">
        <v>23</v>
      </c>
      <c r="D458" s="10">
        <v>301.48</v>
      </c>
      <c r="E458" s="10">
        <v>301.48</v>
      </c>
      <c r="F458" s="10">
        <v>0.78</v>
      </c>
      <c r="G458" s="22">
        <f t="shared" si="28"/>
        <v>140.37158999999997</v>
      </c>
      <c r="H458" s="21" t="s">
        <v>456</v>
      </c>
      <c r="I458" s="9"/>
      <c r="K458"/>
      <c r="L458" s="7">
        <f t="shared" si="27"/>
        <v>301.48</v>
      </c>
      <c r="M458" s="6"/>
      <c r="R458" s="7"/>
      <c r="S458" s="7"/>
    </row>
    <row r="459" spans="1:19" ht="14" x14ac:dyDescent="0.15">
      <c r="A459" s="21">
        <v>455</v>
      </c>
      <c r="B459" s="9" t="s">
        <v>482</v>
      </c>
      <c r="C459" s="9" t="s">
        <v>23</v>
      </c>
      <c r="D459" s="10">
        <v>355.03</v>
      </c>
      <c r="E459" s="10">
        <v>355.03</v>
      </c>
      <c r="F459" s="10">
        <v>1.42</v>
      </c>
      <c r="G459" s="22">
        <f t="shared" si="28"/>
        <v>140.72661999999997</v>
      </c>
      <c r="H459" s="21" t="s">
        <v>456</v>
      </c>
      <c r="I459" s="9"/>
      <c r="K459"/>
      <c r="L459" s="7">
        <f t="shared" si="27"/>
        <v>355.03</v>
      </c>
      <c r="M459" s="6"/>
      <c r="R459" s="7"/>
      <c r="S459" s="7"/>
    </row>
    <row r="460" spans="1:19" ht="14" x14ac:dyDescent="0.15">
      <c r="A460" s="21">
        <v>456</v>
      </c>
      <c r="B460" s="9" t="s">
        <v>483</v>
      </c>
      <c r="C460" s="9" t="s">
        <v>23</v>
      </c>
      <c r="D460" s="10">
        <v>350.23</v>
      </c>
      <c r="E460" s="10">
        <v>350.23</v>
      </c>
      <c r="F460" s="10">
        <v>0.77</v>
      </c>
      <c r="G460" s="22">
        <f t="shared" si="28"/>
        <v>141.07684999999998</v>
      </c>
      <c r="H460" s="21" t="s">
        <v>456</v>
      </c>
      <c r="I460" s="9"/>
      <c r="K460"/>
      <c r="L460" s="7">
        <f t="shared" si="27"/>
        <v>350.23</v>
      </c>
      <c r="M460" s="6"/>
      <c r="R460" s="7"/>
      <c r="S460" s="7"/>
    </row>
    <row r="461" spans="1:19" ht="14" x14ac:dyDescent="0.15">
      <c r="A461" s="21">
        <v>457</v>
      </c>
      <c r="B461" s="9" t="s">
        <v>484</v>
      </c>
      <c r="C461" s="9" t="s">
        <v>23</v>
      </c>
      <c r="D461" s="10">
        <v>337.02</v>
      </c>
      <c r="E461" s="10">
        <v>337.02</v>
      </c>
      <c r="F461" s="10">
        <v>0.16</v>
      </c>
      <c r="G461" s="22">
        <f t="shared" si="28"/>
        <v>141.41386999999997</v>
      </c>
      <c r="H461" s="21" t="s">
        <v>456</v>
      </c>
      <c r="I461" s="9"/>
      <c r="K461"/>
      <c r="L461" s="7">
        <f t="shared" si="27"/>
        <v>337.02</v>
      </c>
      <c r="M461" s="6"/>
      <c r="R461" s="7"/>
      <c r="S461" s="7"/>
    </row>
    <row r="462" spans="1:19" ht="14" x14ac:dyDescent="0.15">
      <c r="A462" s="21">
        <v>458</v>
      </c>
      <c r="B462" s="9" t="s">
        <v>485</v>
      </c>
      <c r="C462" s="9" t="s">
        <v>16</v>
      </c>
      <c r="D462" s="10">
        <v>203.83</v>
      </c>
      <c r="E462" s="10">
        <v>203.83</v>
      </c>
      <c r="F462" s="10">
        <v>2.29</v>
      </c>
      <c r="G462" s="22">
        <f t="shared" si="28"/>
        <v>141.61769999999999</v>
      </c>
      <c r="H462" s="21" t="s">
        <v>456</v>
      </c>
      <c r="I462" s="9"/>
      <c r="K462"/>
      <c r="L462" s="7">
        <f t="shared" si="27"/>
        <v>203.83</v>
      </c>
      <c r="M462" s="6"/>
      <c r="R462" s="7"/>
      <c r="S462" s="7"/>
    </row>
    <row r="463" spans="1:19" ht="14" x14ac:dyDescent="0.15">
      <c r="A463" s="21">
        <v>459</v>
      </c>
      <c r="B463" s="9" t="s">
        <v>486</v>
      </c>
      <c r="C463" s="9" t="s">
        <v>16</v>
      </c>
      <c r="D463" s="10">
        <v>213.07</v>
      </c>
      <c r="E463" s="10">
        <v>213.07</v>
      </c>
      <c r="F463" s="10">
        <v>0.52</v>
      </c>
      <c r="G463" s="22">
        <f t="shared" si="28"/>
        <v>141.83076999999997</v>
      </c>
      <c r="H463" s="21" t="s">
        <v>456</v>
      </c>
      <c r="I463" s="9"/>
      <c r="K463"/>
      <c r="L463" s="7">
        <f t="shared" si="27"/>
        <v>213.07</v>
      </c>
      <c r="M463" s="6"/>
      <c r="R463" s="7"/>
      <c r="S463" s="7"/>
    </row>
    <row r="464" spans="1:19" ht="14" x14ac:dyDescent="0.15">
      <c r="A464" s="21">
        <v>460</v>
      </c>
      <c r="B464" s="9" t="s">
        <v>487</v>
      </c>
      <c r="C464" s="9" t="s">
        <v>23</v>
      </c>
      <c r="D464" s="10">
        <v>202.71</v>
      </c>
      <c r="E464" s="10">
        <v>202.71</v>
      </c>
      <c r="F464" s="10">
        <v>1.76</v>
      </c>
      <c r="G464" s="22">
        <f t="shared" si="28"/>
        <v>142.03347999999997</v>
      </c>
      <c r="H464" s="21" t="s">
        <v>456</v>
      </c>
      <c r="I464" s="9"/>
      <c r="K464"/>
      <c r="L464" s="7">
        <f t="shared" si="27"/>
        <v>202.71</v>
      </c>
      <c r="M464" s="6"/>
      <c r="R464" s="7"/>
      <c r="S464" s="7"/>
    </row>
    <row r="465" spans="1:19" ht="14" x14ac:dyDescent="0.15">
      <c r="A465" s="21">
        <v>461</v>
      </c>
      <c r="B465" s="9" t="s">
        <v>488</v>
      </c>
      <c r="C465" s="9" t="s">
        <v>23</v>
      </c>
      <c r="D465" s="10">
        <v>266</v>
      </c>
      <c r="E465" s="10">
        <v>266</v>
      </c>
      <c r="F465" s="10">
        <v>1.29</v>
      </c>
      <c r="G465" s="22">
        <f t="shared" si="28"/>
        <v>142.29947999999996</v>
      </c>
      <c r="H465" s="21" t="s">
        <v>456</v>
      </c>
      <c r="I465" s="9"/>
      <c r="K465"/>
      <c r="L465" s="7">
        <f t="shared" si="27"/>
        <v>266</v>
      </c>
      <c r="M465" s="6"/>
      <c r="R465" s="7"/>
      <c r="S465" s="7"/>
    </row>
    <row r="466" spans="1:19" ht="14" x14ac:dyDescent="0.15">
      <c r="A466" s="21">
        <v>462</v>
      </c>
      <c r="B466" s="9" t="s">
        <v>489</v>
      </c>
      <c r="C466" s="9" t="s">
        <v>23</v>
      </c>
      <c r="D466" s="10">
        <v>227.19</v>
      </c>
      <c r="E466" s="10">
        <v>227.19</v>
      </c>
      <c r="F466" s="10">
        <v>0.79</v>
      </c>
      <c r="G466" s="22">
        <f t="shared" si="28"/>
        <v>142.52666999999997</v>
      </c>
      <c r="H466" s="21" t="s">
        <v>456</v>
      </c>
      <c r="I466" s="9"/>
      <c r="K466"/>
      <c r="L466" s="7">
        <f t="shared" si="27"/>
        <v>227.19</v>
      </c>
      <c r="M466" s="6"/>
      <c r="R466" s="7"/>
      <c r="S466" s="7"/>
    </row>
    <row r="467" spans="1:19" ht="14" x14ac:dyDescent="0.15">
      <c r="A467" s="21">
        <v>463</v>
      </c>
      <c r="B467" s="9" t="s">
        <v>490</v>
      </c>
      <c r="C467" s="9" t="s">
        <v>19</v>
      </c>
      <c r="D467" s="10">
        <v>340.08</v>
      </c>
      <c r="E467" s="10">
        <v>348.58</v>
      </c>
      <c r="F467" s="10">
        <v>40.25</v>
      </c>
      <c r="G467" s="22">
        <f t="shared" si="28"/>
        <v>142.87524999999997</v>
      </c>
      <c r="H467" s="21" t="s">
        <v>456</v>
      </c>
      <c r="I467" s="9"/>
      <c r="K467" s="7">
        <f>D467+8.5</f>
        <v>348.58</v>
      </c>
      <c r="L467" s="7">
        <f t="shared" si="27"/>
        <v>348.58</v>
      </c>
      <c r="M467" s="6"/>
      <c r="R467" s="7"/>
      <c r="S467" s="7"/>
    </row>
    <row r="468" spans="1:19" ht="14" x14ac:dyDescent="0.15">
      <c r="A468" s="21">
        <v>464</v>
      </c>
      <c r="B468" s="9" t="s">
        <v>491</v>
      </c>
      <c r="C468" s="9" t="s">
        <v>23</v>
      </c>
      <c r="D468" s="10">
        <v>352.73</v>
      </c>
      <c r="E468" s="10">
        <v>352.73</v>
      </c>
      <c r="F468" s="10">
        <v>0.43</v>
      </c>
      <c r="G468" s="22">
        <f t="shared" si="28"/>
        <v>143.22797999999997</v>
      </c>
      <c r="H468" s="21" t="s">
        <v>456</v>
      </c>
      <c r="I468" s="9"/>
      <c r="K468"/>
      <c r="L468" s="7">
        <f t="shared" si="27"/>
        <v>352.73</v>
      </c>
      <c r="M468" s="6"/>
      <c r="R468" s="7"/>
      <c r="S468" s="7"/>
    </row>
    <row r="469" spans="1:19" ht="14" x14ac:dyDescent="0.15">
      <c r="A469" s="21">
        <v>465</v>
      </c>
      <c r="B469" s="9" t="s">
        <v>492</v>
      </c>
      <c r="C469" s="9" t="s">
        <v>23</v>
      </c>
      <c r="D469" s="10">
        <v>344.48</v>
      </c>
      <c r="E469" s="10">
        <v>344.48</v>
      </c>
      <c r="F469" s="10">
        <v>7.0000000000000007E-2</v>
      </c>
      <c r="G469" s="22">
        <f t="shared" si="28"/>
        <v>143.57245999999998</v>
      </c>
      <c r="H469" s="21" t="s">
        <v>456</v>
      </c>
      <c r="I469" s="9"/>
      <c r="K469"/>
      <c r="L469" s="7">
        <f t="shared" si="27"/>
        <v>344.48</v>
      </c>
      <c r="M469" s="6"/>
      <c r="R469" s="7"/>
      <c r="S469" s="7"/>
    </row>
    <row r="470" spans="1:19" ht="14" x14ac:dyDescent="0.15">
      <c r="A470" s="21">
        <v>466</v>
      </c>
      <c r="B470" s="9" t="s">
        <v>493</v>
      </c>
      <c r="C470" s="9" t="s">
        <v>28</v>
      </c>
      <c r="D470" s="10">
        <v>316.37</v>
      </c>
      <c r="E470" s="10">
        <v>324.87</v>
      </c>
      <c r="F470" s="10">
        <v>21.26</v>
      </c>
      <c r="G470" s="22">
        <f t="shared" si="28"/>
        <v>143.89732999999998</v>
      </c>
      <c r="H470" s="21" t="s">
        <v>456</v>
      </c>
      <c r="I470" s="9"/>
      <c r="K470" s="7">
        <f>D470+8.5</f>
        <v>324.87</v>
      </c>
      <c r="L470" s="7">
        <f t="shared" si="27"/>
        <v>324.87</v>
      </c>
      <c r="M470" s="6"/>
      <c r="R470" s="7"/>
      <c r="S470" s="7"/>
    </row>
    <row r="471" spans="1:19" ht="14" x14ac:dyDescent="0.15">
      <c r="A471" s="21">
        <v>467</v>
      </c>
      <c r="B471" s="9" t="s">
        <v>494</v>
      </c>
      <c r="C471" s="9" t="s">
        <v>23</v>
      </c>
      <c r="D471" s="10">
        <v>344.25</v>
      </c>
      <c r="E471" s="10">
        <v>344.25</v>
      </c>
      <c r="F471" s="10">
        <v>0.55000000000000004</v>
      </c>
      <c r="G471" s="22">
        <f t="shared" si="28"/>
        <v>144.24157999999997</v>
      </c>
      <c r="H471" s="21" t="s">
        <v>456</v>
      </c>
      <c r="I471" s="9"/>
      <c r="K471"/>
      <c r="L471" s="7">
        <f t="shared" si="27"/>
        <v>344.25</v>
      </c>
      <c r="M471" s="6"/>
      <c r="R471" s="7"/>
      <c r="S471" s="7"/>
    </row>
    <row r="472" spans="1:19" ht="14" x14ac:dyDescent="0.15">
      <c r="A472" s="21">
        <v>468</v>
      </c>
      <c r="B472" s="9" t="s">
        <v>495</v>
      </c>
      <c r="C472" s="9" t="s">
        <v>23</v>
      </c>
      <c r="D472" s="10">
        <v>293.36</v>
      </c>
      <c r="E472" s="10">
        <v>293.36</v>
      </c>
      <c r="F472" s="10">
        <v>0.89</v>
      </c>
      <c r="G472" s="22">
        <f t="shared" si="28"/>
        <v>144.53493999999998</v>
      </c>
      <c r="H472" s="21" t="s">
        <v>456</v>
      </c>
      <c r="I472" s="9"/>
      <c r="K472"/>
      <c r="L472" s="7">
        <f t="shared" si="27"/>
        <v>293.36</v>
      </c>
      <c r="M472" s="6"/>
      <c r="R472" s="7"/>
      <c r="S472" s="7"/>
    </row>
    <row r="473" spans="1:19" ht="14" x14ac:dyDescent="0.15">
      <c r="A473" s="21">
        <v>469</v>
      </c>
      <c r="B473" s="9" t="s">
        <v>496</v>
      </c>
      <c r="C473" s="9" t="s">
        <v>23</v>
      </c>
      <c r="D473" s="10">
        <v>338.52</v>
      </c>
      <c r="E473" s="10">
        <v>338.52</v>
      </c>
      <c r="F473" s="10">
        <v>0.01</v>
      </c>
      <c r="G473" s="22">
        <f t="shared" si="28"/>
        <v>144.87345999999997</v>
      </c>
      <c r="H473" s="21" t="s">
        <v>456</v>
      </c>
      <c r="I473" s="9"/>
      <c r="K473"/>
      <c r="L473" s="7">
        <f t="shared" si="27"/>
        <v>338.52</v>
      </c>
      <c r="M473" s="6"/>
      <c r="R473" s="7"/>
      <c r="S473" s="7"/>
    </row>
    <row r="474" spans="1:19" ht="14" x14ac:dyDescent="0.15">
      <c r="A474" s="21">
        <v>470</v>
      </c>
      <c r="B474" s="9" t="s">
        <v>497</v>
      </c>
      <c r="C474" s="9" t="s">
        <v>23</v>
      </c>
      <c r="D474" s="10">
        <v>334.85</v>
      </c>
      <c r="E474" s="10">
        <v>334.85</v>
      </c>
      <c r="F474" s="10">
        <v>0.79</v>
      </c>
      <c r="G474" s="22">
        <f t="shared" si="28"/>
        <v>145.20830999999995</v>
      </c>
      <c r="H474" s="21" t="s">
        <v>456</v>
      </c>
      <c r="I474" s="9"/>
      <c r="K474"/>
      <c r="L474" s="7">
        <f t="shared" si="27"/>
        <v>334.85</v>
      </c>
      <c r="M474" s="6"/>
      <c r="R474" s="7"/>
      <c r="S474" s="7"/>
    </row>
    <row r="475" spans="1:19" ht="14" x14ac:dyDescent="0.15">
      <c r="A475" s="21">
        <v>471</v>
      </c>
      <c r="B475" s="9" t="s">
        <v>498</v>
      </c>
      <c r="C475" s="9" t="s">
        <v>23</v>
      </c>
      <c r="D475" s="10">
        <v>346.26</v>
      </c>
      <c r="E475" s="10">
        <v>346.26</v>
      </c>
      <c r="F475" s="10">
        <v>0.36</v>
      </c>
      <c r="G475" s="22">
        <f t="shared" si="28"/>
        <v>145.55456999999996</v>
      </c>
      <c r="H475" s="21" t="s">
        <v>456</v>
      </c>
      <c r="I475" s="9"/>
      <c r="K475"/>
      <c r="L475" s="7">
        <f t="shared" si="27"/>
        <v>346.26</v>
      </c>
      <c r="M475" s="6"/>
      <c r="R475" s="7"/>
      <c r="S475" s="7"/>
    </row>
    <row r="476" spans="1:19" ht="14" x14ac:dyDescent="0.15">
      <c r="A476" s="21">
        <v>472</v>
      </c>
      <c r="B476" s="9" t="s">
        <v>499</v>
      </c>
      <c r="C476" s="9" t="s">
        <v>19</v>
      </c>
      <c r="D476" s="10">
        <v>251.35</v>
      </c>
      <c r="E476" s="10">
        <v>259.85000000000002</v>
      </c>
      <c r="F476" s="10">
        <v>38.119999999999997</v>
      </c>
      <c r="G476" s="22">
        <f t="shared" si="28"/>
        <v>145.81441999999996</v>
      </c>
      <c r="H476" s="21" t="s">
        <v>456</v>
      </c>
      <c r="I476" s="9"/>
      <c r="K476" s="7">
        <f>D476+8.5</f>
        <v>259.85000000000002</v>
      </c>
      <c r="L476" s="7">
        <f t="shared" si="27"/>
        <v>259.85000000000002</v>
      </c>
      <c r="M476" s="6"/>
      <c r="R476" s="7"/>
      <c r="S476" s="7"/>
    </row>
    <row r="477" spans="1:19" ht="14" x14ac:dyDescent="0.15">
      <c r="A477" s="21">
        <v>473</v>
      </c>
      <c r="B477" s="9" t="s">
        <v>500</v>
      </c>
      <c r="C477" s="9" t="s">
        <v>23</v>
      </c>
      <c r="D477" s="10">
        <v>262.83999999999997</v>
      </c>
      <c r="E477" s="10">
        <v>262.83999999999997</v>
      </c>
      <c r="F477" s="10">
        <v>2.37</v>
      </c>
      <c r="G477" s="22">
        <f t="shared" si="28"/>
        <v>146.07725999999997</v>
      </c>
      <c r="H477" s="21" t="s">
        <v>456</v>
      </c>
      <c r="I477" s="9"/>
      <c r="K477"/>
      <c r="L477" s="7">
        <f t="shared" si="27"/>
        <v>262.83999999999997</v>
      </c>
      <c r="M477" s="6"/>
      <c r="R477" s="7"/>
      <c r="S477" s="7"/>
    </row>
    <row r="478" spans="1:19" ht="14" x14ac:dyDescent="0.15">
      <c r="A478" s="21">
        <v>474</v>
      </c>
      <c r="B478" s="9" t="s">
        <v>501</v>
      </c>
      <c r="C478" s="9" t="s">
        <v>23</v>
      </c>
      <c r="D478" s="10">
        <v>348.03</v>
      </c>
      <c r="E478" s="10">
        <v>348.03</v>
      </c>
      <c r="F478" s="10">
        <v>1.29</v>
      </c>
      <c r="G478" s="22">
        <f t="shared" si="28"/>
        <v>146.42528999999996</v>
      </c>
      <c r="H478" s="21" t="s">
        <v>456</v>
      </c>
      <c r="I478" s="9"/>
      <c r="K478"/>
      <c r="L478" s="7">
        <f t="shared" si="27"/>
        <v>348.03</v>
      </c>
      <c r="M478" s="6"/>
      <c r="R478" s="7"/>
      <c r="S478" s="7"/>
    </row>
    <row r="479" spans="1:19" ht="14" x14ac:dyDescent="0.15">
      <c r="A479" s="21">
        <v>475</v>
      </c>
      <c r="B479" s="9" t="s">
        <v>502</v>
      </c>
      <c r="C479" s="9" t="s">
        <v>23</v>
      </c>
      <c r="D479" s="10">
        <v>270.02999999999997</v>
      </c>
      <c r="E479" s="10">
        <v>270.02999999999997</v>
      </c>
      <c r="F479" s="10">
        <v>0.98</v>
      </c>
      <c r="G479" s="22">
        <f t="shared" si="28"/>
        <v>146.69531999999995</v>
      </c>
      <c r="H479" s="21" t="s">
        <v>456</v>
      </c>
      <c r="I479" s="9"/>
      <c r="K479"/>
      <c r="L479" s="7">
        <f t="shared" si="27"/>
        <v>270.02999999999997</v>
      </c>
      <c r="M479" s="6"/>
      <c r="R479" s="7"/>
      <c r="S479" s="7"/>
    </row>
    <row r="480" spans="1:19" ht="14" x14ac:dyDescent="0.15">
      <c r="A480" s="21">
        <v>476</v>
      </c>
      <c r="B480" s="9" t="s">
        <v>503</v>
      </c>
      <c r="C480" s="9" t="s">
        <v>23</v>
      </c>
      <c r="D480" s="10">
        <v>346.8</v>
      </c>
      <c r="E480" s="10">
        <v>346.8</v>
      </c>
      <c r="F480" s="10">
        <v>0.63</v>
      </c>
      <c r="G480" s="22">
        <f t="shared" si="28"/>
        <v>147.04211999999995</v>
      </c>
      <c r="H480" s="21" t="s">
        <v>456</v>
      </c>
      <c r="I480" s="9"/>
      <c r="K480"/>
      <c r="L480" s="7">
        <f t="shared" si="27"/>
        <v>346.8</v>
      </c>
      <c r="M480" s="6"/>
      <c r="R480" s="7"/>
      <c r="S480" s="7"/>
    </row>
    <row r="481" spans="1:19" ht="14" x14ac:dyDescent="0.15">
      <c r="A481" s="21">
        <v>477</v>
      </c>
      <c r="B481" s="9" t="s">
        <v>504</v>
      </c>
      <c r="C481" s="9" t="s">
        <v>23</v>
      </c>
      <c r="D481" s="10">
        <v>348.04</v>
      </c>
      <c r="E481" s="10">
        <v>348.04</v>
      </c>
      <c r="F481" s="10">
        <v>0.35</v>
      </c>
      <c r="G481" s="22">
        <f t="shared" si="28"/>
        <v>147.39015999999995</v>
      </c>
      <c r="H481" s="21" t="s">
        <v>456</v>
      </c>
      <c r="I481" s="9"/>
      <c r="K481"/>
      <c r="L481" s="7">
        <f t="shared" si="27"/>
        <v>348.04</v>
      </c>
      <c r="M481" s="6"/>
      <c r="R481" s="7"/>
      <c r="S481" s="7"/>
    </row>
    <row r="482" spans="1:19" ht="14" x14ac:dyDescent="0.15">
      <c r="A482" s="21">
        <v>478</v>
      </c>
      <c r="B482" s="9" t="s">
        <v>505</v>
      </c>
      <c r="C482" s="9" t="s">
        <v>28</v>
      </c>
      <c r="D482" s="10">
        <v>349.56</v>
      </c>
      <c r="E482" s="10">
        <v>358.06</v>
      </c>
      <c r="F482" s="10">
        <v>18.04</v>
      </c>
      <c r="G482" s="22">
        <f t="shared" si="28"/>
        <v>147.74821999999995</v>
      </c>
      <c r="H482" s="21" t="s">
        <v>456</v>
      </c>
      <c r="I482" s="9"/>
      <c r="K482" s="7">
        <f>D482+8.5</f>
        <v>358.06</v>
      </c>
      <c r="L482" s="7">
        <f t="shared" si="27"/>
        <v>358.06</v>
      </c>
      <c r="M482" s="6"/>
      <c r="R482" s="7"/>
      <c r="S482" s="7"/>
    </row>
    <row r="483" spans="1:19" ht="14" x14ac:dyDescent="0.15">
      <c r="A483" s="21">
        <v>479</v>
      </c>
      <c r="B483" s="9" t="s">
        <v>506</v>
      </c>
      <c r="C483" s="9" t="s">
        <v>23</v>
      </c>
      <c r="D483" s="10">
        <v>264.02</v>
      </c>
      <c r="E483" s="10">
        <v>264.02</v>
      </c>
      <c r="F483" s="10">
        <v>0.28000000000000003</v>
      </c>
      <c r="G483" s="22">
        <f t="shared" si="28"/>
        <v>148.01223999999993</v>
      </c>
      <c r="H483" s="21" t="s">
        <v>456</v>
      </c>
      <c r="I483" s="9"/>
      <c r="K483"/>
      <c r="L483" s="7">
        <f t="shared" si="27"/>
        <v>264.02</v>
      </c>
      <c r="M483" s="6"/>
      <c r="R483" s="7"/>
      <c r="S483" s="7"/>
    </row>
    <row r="484" spans="1:19" ht="14" x14ac:dyDescent="0.15">
      <c r="A484" s="21">
        <v>480</v>
      </c>
      <c r="B484" s="9" t="s">
        <v>507</v>
      </c>
      <c r="C484" s="9" t="s">
        <v>23</v>
      </c>
      <c r="D484" s="10">
        <v>346.56</v>
      </c>
      <c r="E484" s="10">
        <v>346.56</v>
      </c>
      <c r="F484" s="10">
        <v>0.66</v>
      </c>
      <c r="G484" s="22">
        <f t="shared" si="28"/>
        <v>148.35879999999995</v>
      </c>
      <c r="H484" s="21" t="s">
        <v>456</v>
      </c>
      <c r="I484" s="9"/>
      <c r="K484"/>
      <c r="L484" s="7">
        <f t="shared" si="27"/>
        <v>346.56</v>
      </c>
      <c r="M484" s="6"/>
      <c r="R484" s="7"/>
      <c r="S484" s="7"/>
    </row>
    <row r="485" spans="1:19" ht="14" x14ac:dyDescent="0.15">
      <c r="A485" s="21">
        <v>481</v>
      </c>
      <c r="B485" s="9" t="s">
        <v>508</v>
      </c>
      <c r="C485" s="9" t="s">
        <v>23</v>
      </c>
      <c r="D485" s="10">
        <v>351.22</v>
      </c>
      <c r="E485" s="10">
        <v>351.22</v>
      </c>
      <c r="F485" s="10">
        <v>0.64</v>
      </c>
      <c r="G485" s="22">
        <f t="shared" si="28"/>
        <v>148.71001999999996</v>
      </c>
      <c r="H485" s="21" t="s">
        <v>456</v>
      </c>
      <c r="I485" s="9"/>
      <c r="K485"/>
      <c r="L485" s="7">
        <f t="shared" si="27"/>
        <v>351.22</v>
      </c>
      <c r="M485" s="6"/>
      <c r="R485" s="7"/>
      <c r="S485" s="7"/>
    </row>
    <row r="486" spans="1:19" ht="14" x14ac:dyDescent="0.15">
      <c r="A486" s="21">
        <v>482</v>
      </c>
      <c r="B486" s="9" t="s">
        <v>509</v>
      </c>
      <c r="C486" s="9" t="s">
        <v>23</v>
      </c>
      <c r="D486" s="10">
        <v>369.26</v>
      </c>
      <c r="E486" s="10">
        <v>369.26</v>
      </c>
      <c r="F486" s="10">
        <v>0.3</v>
      </c>
      <c r="G486" s="22">
        <f t="shared" si="28"/>
        <v>149.07927999999995</v>
      </c>
      <c r="H486" s="21" t="s">
        <v>456</v>
      </c>
      <c r="I486" s="9"/>
      <c r="K486"/>
      <c r="L486" s="7">
        <f t="shared" si="27"/>
        <v>369.26</v>
      </c>
      <c r="M486" s="6"/>
      <c r="R486" s="7"/>
      <c r="S486" s="7"/>
    </row>
    <row r="487" spans="1:19" ht="14" x14ac:dyDescent="0.15">
      <c r="A487" s="21">
        <v>483</v>
      </c>
      <c r="B487" s="9" t="s">
        <v>510</v>
      </c>
      <c r="C487" s="9" t="s">
        <v>19</v>
      </c>
      <c r="D487" s="10">
        <v>275.85000000000002</v>
      </c>
      <c r="E487" s="10">
        <v>284.35000000000002</v>
      </c>
      <c r="F487" s="10">
        <v>54.34</v>
      </c>
      <c r="G487" s="22">
        <f t="shared" si="28"/>
        <v>149.36362999999994</v>
      </c>
      <c r="H487" s="21" t="s">
        <v>456</v>
      </c>
      <c r="I487" s="9"/>
      <c r="K487" s="7">
        <f>D487+8.5</f>
        <v>284.35000000000002</v>
      </c>
      <c r="L487" s="7">
        <f t="shared" si="27"/>
        <v>284.35000000000002</v>
      </c>
      <c r="M487" s="6"/>
      <c r="R487" s="7"/>
      <c r="S487" s="7"/>
    </row>
    <row r="488" spans="1:19" ht="14" x14ac:dyDescent="0.15">
      <c r="A488" s="21">
        <v>484</v>
      </c>
      <c r="B488" s="9" t="s">
        <v>511</v>
      </c>
      <c r="C488" s="9" t="s">
        <v>16</v>
      </c>
      <c r="D488" s="10">
        <v>307.32</v>
      </c>
      <c r="E488" s="10">
        <v>307.32</v>
      </c>
      <c r="F488" s="10">
        <v>0.41</v>
      </c>
      <c r="G488" s="22">
        <f t="shared" si="28"/>
        <v>149.67094999999995</v>
      </c>
      <c r="H488" s="21" t="s">
        <v>456</v>
      </c>
      <c r="I488" s="9"/>
      <c r="K488"/>
      <c r="L488" s="7">
        <f t="shared" si="27"/>
        <v>307.32</v>
      </c>
      <c r="M488" s="6"/>
      <c r="R488" s="7"/>
      <c r="S488" s="7"/>
    </row>
    <row r="489" spans="1:19" ht="14" x14ac:dyDescent="0.15">
      <c r="A489" s="21">
        <v>485</v>
      </c>
      <c r="B489" s="9" t="s">
        <v>512</v>
      </c>
      <c r="C489" s="9" t="s">
        <v>16</v>
      </c>
      <c r="D489" s="10">
        <v>319.2</v>
      </c>
      <c r="E489" s="10">
        <v>319.2</v>
      </c>
      <c r="F489" s="10">
        <v>1.2</v>
      </c>
      <c r="G489" s="22">
        <f t="shared" si="28"/>
        <v>149.99014999999994</v>
      </c>
      <c r="H489" s="21" t="s">
        <v>456</v>
      </c>
      <c r="I489" s="9"/>
      <c r="K489"/>
      <c r="L489" s="7">
        <f t="shared" si="27"/>
        <v>319.2</v>
      </c>
      <c r="M489" s="6"/>
      <c r="R489" s="7"/>
      <c r="S489" s="7"/>
    </row>
    <row r="490" spans="1:19" ht="14" x14ac:dyDescent="0.15">
      <c r="A490" s="21">
        <v>486</v>
      </c>
      <c r="B490" s="9" t="s">
        <v>513</v>
      </c>
      <c r="C490" s="9" t="s">
        <v>19</v>
      </c>
      <c r="D490" s="10">
        <v>280.42</v>
      </c>
      <c r="E490" s="10">
        <v>288.92</v>
      </c>
      <c r="F490" s="10">
        <v>0.62</v>
      </c>
      <c r="G490" s="22">
        <f t="shared" si="28"/>
        <v>150.27906999999993</v>
      </c>
      <c r="H490" s="21" t="s">
        <v>456</v>
      </c>
      <c r="I490" s="9"/>
      <c r="K490" s="7">
        <f>D490+8.5</f>
        <v>288.92</v>
      </c>
      <c r="L490" s="7">
        <f t="shared" si="27"/>
        <v>288.92</v>
      </c>
      <c r="M490" s="6"/>
      <c r="R490" s="7"/>
      <c r="S490" s="7"/>
    </row>
    <row r="491" spans="1:19" ht="14" x14ac:dyDescent="0.15">
      <c r="A491" s="21">
        <v>487</v>
      </c>
      <c r="B491" s="9" t="s">
        <v>514</v>
      </c>
      <c r="C491" s="9" t="s">
        <v>23</v>
      </c>
      <c r="D491" s="10">
        <v>350.9</v>
      </c>
      <c r="E491" s="10">
        <v>350.9</v>
      </c>
      <c r="F491" s="10">
        <v>0.21</v>
      </c>
      <c r="G491" s="22">
        <f t="shared" si="28"/>
        <v>150.62996999999993</v>
      </c>
      <c r="H491" s="21" t="s">
        <v>456</v>
      </c>
      <c r="I491" s="9"/>
      <c r="K491"/>
      <c r="L491" s="7">
        <f t="shared" si="27"/>
        <v>350.9</v>
      </c>
      <c r="M491" s="6"/>
      <c r="R491" s="7"/>
      <c r="S491" s="7"/>
    </row>
    <row r="492" spans="1:19" ht="14" x14ac:dyDescent="0.15">
      <c r="A492" s="21">
        <v>488</v>
      </c>
      <c r="B492" s="9" t="s">
        <v>515</v>
      </c>
      <c r="C492" s="9" t="s">
        <v>23</v>
      </c>
      <c r="D492" s="10">
        <v>328.6</v>
      </c>
      <c r="E492" s="10">
        <v>328.6</v>
      </c>
      <c r="F492" s="10">
        <v>0.67</v>
      </c>
      <c r="G492" s="22">
        <f t="shared" si="28"/>
        <v>150.95856999999992</v>
      </c>
      <c r="H492" s="21" t="s">
        <v>456</v>
      </c>
      <c r="I492" s="9"/>
      <c r="K492"/>
      <c r="L492" s="7">
        <f t="shared" si="27"/>
        <v>328.6</v>
      </c>
      <c r="M492" s="6"/>
      <c r="R492" s="7"/>
      <c r="S492" s="7"/>
    </row>
    <row r="493" spans="1:19" ht="14" x14ac:dyDescent="0.15">
      <c r="A493" s="21">
        <v>489</v>
      </c>
      <c r="B493" s="9" t="s">
        <v>516</v>
      </c>
      <c r="C493" s="9" t="s">
        <v>23</v>
      </c>
      <c r="D493" s="10">
        <v>346.35</v>
      </c>
      <c r="E493" s="10">
        <v>346.35</v>
      </c>
      <c r="F493" s="10">
        <v>0.28999999999999998</v>
      </c>
      <c r="G493" s="22">
        <f t="shared" si="28"/>
        <v>151.30491999999992</v>
      </c>
      <c r="H493" s="21" t="s">
        <v>456</v>
      </c>
      <c r="I493" s="9"/>
      <c r="K493"/>
      <c r="L493" s="7">
        <f t="shared" si="27"/>
        <v>346.35</v>
      </c>
      <c r="M493" s="6"/>
      <c r="R493" s="7"/>
      <c r="S493" s="7"/>
    </row>
    <row r="494" spans="1:19" ht="14" x14ac:dyDescent="0.15">
      <c r="A494" s="21">
        <v>490</v>
      </c>
      <c r="B494" s="9" t="s">
        <v>517</v>
      </c>
      <c r="C494" s="9" t="s">
        <v>19</v>
      </c>
      <c r="D494" s="10">
        <v>390.18</v>
      </c>
      <c r="E494" s="10">
        <v>398.68</v>
      </c>
      <c r="F494" s="10">
        <v>45.74</v>
      </c>
      <c r="G494" s="22">
        <f t="shared" si="28"/>
        <v>151.70359999999994</v>
      </c>
      <c r="H494" s="21" t="s">
        <v>456</v>
      </c>
      <c r="I494" s="9"/>
      <c r="K494" s="7">
        <f>D494+8.5</f>
        <v>398.68</v>
      </c>
      <c r="L494" s="7">
        <f t="shared" si="27"/>
        <v>398.68</v>
      </c>
      <c r="M494" s="6"/>
      <c r="R494" s="7"/>
      <c r="S494" s="7"/>
    </row>
    <row r="495" spans="1:19" ht="14" x14ac:dyDescent="0.15">
      <c r="A495" s="21">
        <v>491</v>
      </c>
      <c r="B495" s="9" t="s">
        <v>518</v>
      </c>
      <c r="C495" s="9" t="s">
        <v>23</v>
      </c>
      <c r="D495" s="10">
        <v>312.77999999999997</v>
      </c>
      <c r="E495" s="10">
        <v>312.77999999999997</v>
      </c>
      <c r="F495" s="10">
        <v>0.69</v>
      </c>
      <c r="G495" s="22">
        <f t="shared" si="28"/>
        <v>152.01637999999994</v>
      </c>
      <c r="H495" s="21" t="s">
        <v>456</v>
      </c>
      <c r="I495" s="9"/>
      <c r="K495"/>
      <c r="L495" s="7">
        <f t="shared" si="27"/>
        <v>312.77999999999997</v>
      </c>
      <c r="M495" s="6"/>
      <c r="R495" s="7"/>
      <c r="S495" s="7"/>
    </row>
    <row r="496" spans="1:19" ht="14" x14ac:dyDescent="0.15">
      <c r="A496" s="21">
        <v>492</v>
      </c>
      <c r="B496" s="9" t="s">
        <v>519</v>
      </c>
      <c r="C496" s="9" t="s">
        <v>23</v>
      </c>
      <c r="D496" s="10">
        <v>297.52999999999997</v>
      </c>
      <c r="E496" s="10">
        <v>297.52999999999997</v>
      </c>
      <c r="F496" s="10">
        <v>0.26</v>
      </c>
      <c r="G496" s="22">
        <f t="shared" si="28"/>
        <v>152.31390999999994</v>
      </c>
      <c r="H496" s="21" t="s">
        <v>456</v>
      </c>
      <c r="I496" s="9"/>
      <c r="K496"/>
      <c r="L496" s="7">
        <f t="shared" si="27"/>
        <v>297.52999999999997</v>
      </c>
      <c r="M496" s="6"/>
      <c r="R496" s="7"/>
      <c r="S496" s="7"/>
    </row>
    <row r="497" spans="1:19" ht="14" x14ac:dyDescent="0.15">
      <c r="A497" s="21">
        <v>493</v>
      </c>
      <c r="B497" s="9" t="s">
        <v>520</v>
      </c>
      <c r="C497" s="9" t="s">
        <v>23</v>
      </c>
      <c r="D497" s="10">
        <v>341.62</v>
      </c>
      <c r="E497" s="10">
        <v>341.62</v>
      </c>
      <c r="F497" s="10">
        <v>0.26</v>
      </c>
      <c r="G497" s="22">
        <f t="shared" si="28"/>
        <v>152.65552999999994</v>
      </c>
      <c r="H497" s="21" t="s">
        <v>456</v>
      </c>
      <c r="I497" s="9"/>
      <c r="K497"/>
      <c r="L497" s="7">
        <f t="shared" si="27"/>
        <v>341.62</v>
      </c>
      <c r="M497" s="6"/>
      <c r="R497" s="7"/>
      <c r="S497" s="7"/>
    </row>
    <row r="498" spans="1:19" ht="14" x14ac:dyDescent="0.15">
      <c r="A498" s="21">
        <v>494</v>
      </c>
      <c r="B498" s="9" t="s">
        <v>521</v>
      </c>
      <c r="C498" s="9" t="s">
        <v>23</v>
      </c>
      <c r="D498" s="10">
        <v>331.02</v>
      </c>
      <c r="E498" s="10">
        <v>331.02</v>
      </c>
      <c r="F498" s="10">
        <v>0.28000000000000003</v>
      </c>
      <c r="G498" s="22">
        <f t="shared" si="28"/>
        <v>152.98654999999994</v>
      </c>
      <c r="H498" s="21" t="s">
        <v>456</v>
      </c>
      <c r="I498" s="9"/>
      <c r="K498"/>
      <c r="L498" s="7">
        <f t="shared" si="27"/>
        <v>331.02</v>
      </c>
      <c r="M498" s="6"/>
      <c r="R498" s="7"/>
      <c r="S498" s="7"/>
    </row>
    <row r="499" spans="1:19" ht="14" x14ac:dyDescent="0.15">
      <c r="A499" s="21">
        <v>495</v>
      </c>
      <c r="B499" s="9" t="s">
        <v>522</v>
      </c>
      <c r="C499" s="9" t="s">
        <v>23</v>
      </c>
      <c r="D499" s="10">
        <v>312.86</v>
      </c>
      <c r="E499" s="10">
        <v>312.86</v>
      </c>
      <c r="F499" s="10">
        <v>0.35</v>
      </c>
      <c r="G499" s="22">
        <f t="shared" si="28"/>
        <v>153.29940999999994</v>
      </c>
      <c r="H499" s="21" t="s">
        <v>456</v>
      </c>
      <c r="I499" s="9"/>
      <c r="K499"/>
      <c r="L499" s="7">
        <f t="shared" si="27"/>
        <v>312.86</v>
      </c>
      <c r="M499" s="6"/>
      <c r="R499" s="7"/>
      <c r="S499" s="7"/>
    </row>
    <row r="500" spans="1:19" ht="14" x14ac:dyDescent="0.15">
      <c r="A500" s="21">
        <v>496</v>
      </c>
      <c r="B500" s="9" t="s">
        <v>523</v>
      </c>
      <c r="C500" s="9" t="s">
        <v>23</v>
      </c>
      <c r="D500" s="10">
        <v>348.41</v>
      </c>
      <c r="E500" s="10">
        <v>348.41</v>
      </c>
      <c r="F500" s="10">
        <v>0.7</v>
      </c>
      <c r="G500" s="22">
        <f t="shared" si="28"/>
        <v>153.64781999999994</v>
      </c>
      <c r="H500" s="21" t="s">
        <v>456</v>
      </c>
      <c r="I500" s="9"/>
      <c r="K500"/>
      <c r="L500" s="7">
        <f t="shared" si="27"/>
        <v>348.41</v>
      </c>
      <c r="M500" s="6"/>
      <c r="R500" s="7"/>
      <c r="S500" s="7"/>
    </row>
    <row r="501" spans="1:19" ht="14" x14ac:dyDescent="0.15">
      <c r="A501" s="21">
        <v>497</v>
      </c>
      <c r="B501" s="9" t="s">
        <v>524</v>
      </c>
      <c r="C501" s="9" t="s">
        <v>23</v>
      </c>
      <c r="D501" s="10">
        <v>282.52</v>
      </c>
      <c r="E501" s="10">
        <v>282.52</v>
      </c>
      <c r="F501" s="10">
        <v>1.8</v>
      </c>
      <c r="G501" s="22">
        <f t="shared" si="28"/>
        <v>153.93033999999994</v>
      </c>
      <c r="H501" s="21" t="s">
        <v>456</v>
      </c>
      <c r="I501" s="9"/>
      <c r="K501"/>
      <c r="L501" s="7">
        <f t="shared" si="27"/>
        <v>282.52</v>
      </c>
      <c r="M501" s="6"/>
      <c r="R501" s="7"/>
      <c r="S501" s="7"/>
    </row>
    <row r="502" spans="1:19" ht="14" x14ac:dyDescent="0.15">
      <c r="A502" s="21">
        <v>498</v>
      </c>
      <c r="B502" s="9" t="s">
        <v>525</v>
      </c>
      <c r="C502" s="9" t="s">
        <v>23</v>
      </c>
      <c r="D502" s="10">
        <v>325.20999999999998</v>
      </c>
      <c r="E502" s="10">
        <v>325.20999999999998</v>
      </c>
      <c r="F502" s="10">
        <v>1.97</v>
      </c>
      <c r="G502" s="22">
        <f t="shared" si="28"/>
        <v>154.25554999999994</v>
      </c>
      <c r="H502" s="21" t="s">
        <v>456</v>
      </c>
      <c r="I502" s="9"/>
      <c r="K502"/>
      <c r="L502" s="7">
        <f t="shared" si="27"/>
        <v>325.20999999999998</v>
      </c>
      <c r="M502" s="6"/>
      <c r="R502" s="7"/>
      <c r="S502" s="7"/>
    </row>
    <row r="503" spans="1:19" ht="14" x14ac:dyDescent="0.15">
      <c r="A503" s="21">
        <v>499</v>
      </c>
      <c r="B503" s="9" t="s">
        <v>526</v>
      </c>
      <c r="C503" s="9" t="s">
        <v>23</v>
      </c>
      <c r="D503" s="10">
        <v>334</v>
      </c>
      <c r="E503" s="10">
        <v>334</v>
      </c>
      <c r="F503" s="10">
        <v>0.1</v>
      </c>
      <c r="G503" s="22">
        <f t="shared" si="28"/>
        <v>154.58954999999995</v>
      </c>
      <c r="H503" s="21" t="s">
        <v>456</v>
      </c>
      <c r="I503" s="9"/>
      <c r="K503"/>
      <c r="L503" s="7">
        <f t="shared" si="27"/>
        <v>334</v>
      </c>
      <c r="M503" s="6"/>
      <c r="R503" s="7"/>
      <c r="S503" s="7"/>
    </row>
    <row r="504" spans="1:19" ht="14" x14ac:dyDescent="0.15">
      <c r="A504" s="21">
        <v>500</v>
      </c>
      <c r="B504" s="9" t="s">
        <v>527</v>
      </c>
      <c r="C504" s="9" t="s">
        <v>19</v>
      </c>
      <c r="D504" s="10">
        <v>294.98</v>
      </c>
      <c r="E504" s="10">
        <v>303.48</v>
      </c>
      <c r="F504" s="10">
        <v>29.31</v>
      </c>
      <c r="G504" s="22">
        <f t="shared" si="28"/>
        <v>154.89302999999995</v>
      </c>
      <c r="H504" s="21" t="s">
        <v>456</v>
      </c>
      <c r="I504" s="9"/>
      <c r="K504" s="7">
        <f t="shared" ref="K504:K506" si="30">D504+8.5</f>
        <v>303.48</v>
      </c>
      <c r="L504" s="7">
        <f t="shared" si="27"/>
        <v>303.48</v>
      </c>
      <c r="M504" s="6"/>
      <c r="R504" s="7"/>
      <c r="S504" s="7"/>
    </row>
    <row r="505" spans="1:19" ht="14" x14ac:dyDescent="0.15">
      <c r="A505" s="21">
        <v>501</v>
      </c>
      <c r="B505" s="9" t="s">
        <v>528</v>
      </c>
      <c r="C505" s="9" t="s">
        <v>19</v>
      </c>
      <c r="D505" s="10">
        <v>184.62</v>
      </c>
      <c r="E505" s="10">
        <v>193.12</v>
      </c>
      <c r="F505" s="10">
        <v>34.65</v>
      </c>
      <c r="G505" s="22">
        <f t="shared" si="28"/>
        <v>155.08614999999995</v>
      </c>
      <c r="H505" s="21" t="s">
        <v>456</v>
      </c>
      <c r="I505" s="9"/>
      <c r="K505" s="7">
        <f t="shared" si="30"/>
        <v>193.12</v>
      </c>
      <c r="L505" s="7">
        <f t="shared" si="27"/>
        <v>193.12</v>
      </c>
      <c r="M505" s="6"/>
      <c r="R505" s="7"/>
      <c r="S505" s="7"/>
    </row>
    <row r="506" spans="1:19" ht="14" x14ac:dyDescent="0.15">
      <c r="A506" s="21">
        <v>502</v>
      </c>
      <c r="B506" s="9" t="s">
        <v>529</v>
      </c>
      <c r="C506" s="9" t="s">
        <v>19</v>
      </c>
      <c r="D506" s="10">
        <v>273.81</v>
      </c>
      <c r="E506" s="10">
        <v>282.31</v>
      </c>
      <c r="F506" s="10">
        <v>14.2</v>
      </c>
      <c r="G506" s="22">
        <f t="shared" si="28"/>
        <v>155.36845999999994</v>
      </c>
      <c r="H506" s="21" t="s">
        <v>456</v>
      </c>
      <c r="I506" s="9"/>
      <c r="K506" s="7">
        <f t="shared" si="30"/>
        <v>282.31</v>
      </c>
      <c r="L506" s="7">
        <f t="shared" si="27"/>
        <v>282.31</v>
      </c>
      <c r="M506" s="6"/>
      <c r="R506" s="7"/>
      <c r="S506" s="7"/>
    </row>
    <row r="507" spans="1:19" ht="14" x14ac:dyDescent="0.15">
      <c r="A507" s="21">
        <v>503</v>
      </c>
      <c r="B507" s="9" t="s">
        <v>530</v>
      </c>
      <c r="C507" s="9" t="s">
        <v>16</v>
      </c>
      <c r="D507" s="10">
        <v>309.42</v>
      </c>
      <c r="E507" s="10">
        <v>309.42</v>
      </c>
      <c r="F507" s="10">
        <v>2.09</v>
      </c>
      <c r="G507" s="22">
        <f t="shared" si="28"/>
        <v>155.67787999999993</v>
      </c>
      <c r="H507" s="21" t="s">
        <v>456</v>
      </c>
      <c r="I507" s="9"/>
      <c r="K507"/>
      <c r="L507" s="7">
        <f t="shared" si="27"/>
        <v>309.42</v>
      </c>
      <c r="M507" s="6"/>
      <c r="R507" s="7"/>
      <c r="S507" s="7"/>
    </row>
    <row r="508" spans="1:19" ht="14" x14ac:dyDescent="0.15">
      <c r="A508" s="21">
        <v>504</v>
      </c>
      <c r="B508" s="9" t="s">
        <v>531</v>
      </c>
      <c r="C508" s="9" t="s">
        <v>19</v>
      </c>
      <c r="D508" s="10">
        <v>359.88</v>
      </c>
      <c r="E508" s="10">
        <v>368.38</v>
      </c>
      <c r="F508" s="10">
        <v>42.96</v>
      </c>
      <c r="G508" s="22">
        <f t="shared" si="28"/>
        <v>156.04625999999993</v>
      </c>
      <c r="H508" s="21" t="s">
        <v>456</v>
      </c>
      <c r="I508" s="9"/>
      <c r="K508" s="7">
        <f>D508+8.5</f>
        <v>368.38</v>
      </c>
      <c r="L508" s="7">
        <f t="shared" si="27"/>
        <v>368.38</v>
      </c>
      <c r="M508" s="6"/>
      <c r="R508" s="7"/>
      <c r="S508" s="7"/>
    </row>
    <row r="509" spans="1:19" ht="14" x14ac:dyDescent="0.15">
      <c r="A509" s="21">
        <v>505</v>
      </c>
      <c r="B509" s="9" t="s">
        <v>532</v>
      </c>
      <c r="C509" s="9" t="s">
        <v>23</v>
      </c>
      <c r="D509" s="10">
        <v>333.45</v>
      </c>
      <c r="E509" s="10">
        <v>333.45</v>
      </c>
      <c r="F509" s="10">
        <v>0.55000000000000004</v>
      </c>
      <c r="G509" s="22">
        <f t="shared" si="28"/>
        <v>156.37970999999993</v>
      </c>
      <c r="H509" s="21" t="s">
        <v>456</v>
      </c>
      <c r="I509" s="9"/>
      <c r="K509"/>
      <c r="L509" s="7">
        <f t="shared" si="27"/>
        <v>333.45</v>
      </c>
      <c r="M509" s="6"/>
      <c r="R509" s="7"/>
      <c r="S509" s="7"/>
    </row>
    <row r="510" spans="1:19" ht="14" x14ac:dyDescent="0.15">
      <c r="A510" s="21">
        <v>506</v>
      </c>
      <c r="B510" s="9" t="s">
        <v>533</v>
      </c>
      <c r="C510" s="9" t="s">
        <v>23</v>
      </c>
      <c r="D510" s="10">
        <v>335.79</v>
      </c>
      <c r="E510" s="10">
        <v>335.79</v>
      </c>
      <c r="F510" s="10">
        <v>0.39</v>
      </c>
      <c r="G510" s="22">
        <f t="shared" si="28"/>
        <v>156.71549999999993</v>
      </c>
      <c r="H510" s="21" t="s">
        <v>456</v>
      </c>
      <c r="I510" s="9"/>
      <c r="K510"/>
      <c r="L510" s="7">
        <f t="shared" si="27"/>
        <v>335.79</v>
      </c>
      <c r="M510" s="6"/>
      <c r="R510" s="7"/>
      <c r="S510" s="7"/>
    </row>
    <row r="511" spans="1:19" ht="14" x14ac:dyDescent="0.15">
      <c r="A511" s="21">
        <v>507</v>
      </c>
      <c r="B511" s="9" t="s">
        <v>534</v>
      </c>
      <c r="C511" s="9" t="s">
        <v>23</v>
      </c>
      <c r="D511" s="10">
        <v>318.64999999999998</v>
      </c>
      <c r="E511" s="10">
        <v>318.64999999999998</v>
      </c>
      <c r="F511" s="10">
        <v>1.1599999999999999</v>
      </c>
      <c r="G511" s="22">
        <f t="shared" si="28"/>
        <v>157.03414999999993</v>
      </c>
      <c r="H511" s="21" t="s">
        <v>456</v>
      </c>
      <c r="I511" s="9"/>
      <c r="K511"/>
      <c r="L511" s="7">
        <f t="shared" si="27"/>
        <v>318.64999999999998</v>
      </c>
      <c r="M511" s="6"/>
      <c r="R511" s="7"/>
      <c r="S511" s="7"/>
    </row>
    <row r="512" spans="1:19" ht="14" x14ac:dyDescent="0.15">
      <c r="A512" s="21">
        <v>508</v>
      </c>
      <c r="B512" s="9" t="s">
        <v>535</v>
      </c>
      <c r="C512" s="9" t="s">
        <v>19</v>
      </c>
      <c r="D512" s="10">
        <v>258.58</v>
      </c>
      <c r="E512" s="10">
        <v>267.08</v>
      </c>
      <c r="F512" s="10">
        <v>51.76</v>
      </c>
      <c r="G512" s="22">
        <f t="shared" si="28"/>
        <v>157.30122999999992</v>
      </c>
      <c r="H512" s="21" t="s">
        <v>456</v>
      </c>
      <c r="I512" s="9"/>
      <c r="K512" s="7">
        <f>D512+8.5</f>
        <v>267.08</v>
      </c>
      <c r="L512" s="7">
        <f t="shared" si="27"/>
        <v>267.08</v>
      </c>
      <c r="M512" s="6"/>
      <c r="R512" s="7"/>
      <c r="S512" s="7"/>
    </row>
    <row r="513" spans="1:19" ht="14" x14ac:dyDescent="0.15">
      <c r="A513" s="21">
        <v>509</v>
      </c>
      <c r="B513" s="9" t="s">
        <v>536</v>
      </c>
      <c r="C513" s="9" t="s">
        <v>23</v>
      </c>
      <c r="D513" s="10">
        <v>339.48</v>
      </c>
      <c r="E513" s="10">
        <v>339.48</v>
      </c>
      <c r="F513" s="10">
        <v>1.98</v>
      </c>
      <c r="G513" s="22">
        <f t="shared" si="28"/>
        <v>157.64070999999993</v>
      </c>
      <c r="H513" s="21" t="s">
        <v>456</v>
      </c>
      <c r="I513" s="9"/>
      <c r="K513"/>
      <c r="L513" s="7">
        <f t="shared" si="27"/>
        <v>339.48</v>
      </c>
      <c r="M513" s="6"/>
      <c r="R513" s="7"/>
      <c r="S513" s="7"/>
    </row>
    <row r="514" spans="1:19" ht="14" x14ac:dyDescent="0.15">
      <c r="A514" s="21">
        <v>510</v>
      </c>
      <c r="B514" s="9" t="s">
        <v>537</v>
      </c>
      <c r="C514" s="9" t="s">
        <v>23</v>
      </c>
      <c r="D514" s="10">
        <v>318.74</v>
      </c>
      <c r="E514" s="10">
        <v>318.74</v>
      </c>
      <c r="F514" s="10">
        <v>1.49</v>
      </c>
      <c r="G514" s="22">
        <f t="shared" si="28"/>
        <v>157.95944999999992</v>
      </c>
      <c r="H514" s="21" t="s">
        <v>456</v>
      </c>
      <c r="I514" s="9"/>
      <c r="K514"/>
      <c r="L514" s="7">
        <f t="shared" si="27"/>
        <v>318.74</v>
      </c>
      <c r="M514" s="6"/>
      <c r="R514" s="7"/>
      <c r="S514" s="7"/>
    </row>
    <row r="515" spans="1:19" ht="14" x14ac:dyDescent="0.15">
      <c r="A515" s="21">
        <v>511</v>
      </c>
      <c r="B515" s="9" t="s">
        <v>538</v>
      </c>
      <c r="C515" s="9" t="s">
        <v>28</v>
      </c>
      <c r="D515" s="10">
        <v>358.59</v>
      </c>
      <c r="E515" s="10">
        <v>367.09</v>
      </c>
      <c r="F515" s="10">
        <v>20.02</v>
      </c>
      <c r="G515" s="22">
        <f t="shared" si="28"/>
        <v>158.32653999999991</v>
      </c>
      <c r="H515" s="21" t="s">
        <v>456</v>
      </c>
      <c r="I515" s="9"/>
      <c r="K515" s="7">
        <f>D515+8.5</f>
        <v>367.09</v>
      </c>
      <c r="L515" s="7">
        <f t="shared" ref="L515:L578" si="31">IF(K515&lt;&gt;"",K515,D515)</f>
        <v>367.09</v>
      </c>
      <c r="M515" s="6"/>
      <c r="R515" s="7"/>
      <c r="S515" s="7"/>
    </row>
    <row r="516" spans="1:19" ht="14" x14ac:dyDescent="0.15">
      <c r="A516" s="21">
        <v>512</v>
      </c>
      <c r="B516" s="9" t="s">
        <v>539</v>
      </c>
      <c r="C516" s="9" t="s">
        <v>23</v>
      </c>
      <c r="D516" s="10">
        <v>347.21</v>
      </c>
      <c r="E516" s="10">
        <v>347.21</v>
      </c>
      <c r="F516" s="10">
        <v>0.17</v>
      </c>
      <c r="G516" s="22">
        <f t="shared" ref="G516:G579" si="32">E516/1000+G515</f>
        <v>158.6737499999999</v>
      </c>
      <c r="H516" s="21" t="s">
        <v>456</v>
      </c>
      <c r="I516" s="9"/>
      <c r="K516"/>
      <c r="L516" s="7">
        <f t="shared" si="31"/>
        <v>347.21</v>
      </c>
      <c r="M516" s="6"/>
      <c r="R516" s="7"/>
      <c r="S516" s="7"/>
    </row>
    <row r="517" spans="1:19" ht="14" x14ac:dyDescent="0.15">
      <c r="A517" s="21">
        <v>513</v>
      </c>
      <c r="B517" s="9" t="s">
        <v>540</v>
      </c>
      <c r="C517" s="9" t="s">
        <v>23</v>
      </c>
      <c r="D517" s="10">
        <v>356.93</v>
      </c>
      <c r="E517" s="10">
        <v>356.93</v>
      </c>
      <c r="F517" s="10">
        <v>0.74</v>
      </c>
      <c r="G517" s="22">
        <f t="shared" si="32"/>
        <v>159.0306799999999</v>
      </c>
      <c r="H517" s="21" t="s">
        <v>456</v>
      </c>
      <c r="I517" s="9"/>
      <c r="K517"/>
      <c r="L517" s="7">
        <f t="shared" si="31"/>
        <v>356.93</v>
      </c>
      <c r="M517" s="6"/>
      <c r="R517" s="7"/>
      <c r="S517" s="7"/>
    </row>
    <row r="518" spans="1:19" ht="14" x14ac:dyDescent="0.15">
      <c r="A518" s="21">
        <v>514</v>
      </c>
      <c r="B518" s="9" t="s">
        <v>541</v>
      </c>
      <c r="C518" s="9" t="s">
        <v>23</v>
      </c>
      <c r="D518" s="10">
        <v>359.16</v>
      </c>
      <c r="E518" s="10">
        <v>359.16</v>
      </c>
      <c r="F518" s="10">
        <v>1.29</v>
      </c>
      <c r="G518" s="22">
        <f t="shared" si="32"/>
        <v>159.38983999999991</v>
      </c>
      <c r="H518" s="21" t="s">
        <v>456</v>
      </c>
      <c r="I518" s="9"/>
      <c r="K518"/>
      <c r="L518" s="7">
        <f t="shared" si="31"/>
        <v>359.16</v>
      </c>
      <c r="M518" s="6"/>
      <c r="R518" s="7"/>
      <c r="S518" s="7"/>
    </row>
    <row r="519" spans="1:19" ht="14" x14ac:dyDescent="0.15">
      <c r="A519" s="21">
        <v>515</v>
      </c>
      <c r="B519" s="9" t="s">
        <v>542</v>
      </c>
      <c r="C519" s="9" t="s">
        <v>23</v>
      </c>
      <c r="D519" s="10">
        <v>362.12</v>
      </c>
      <c r="E519" s="10">
        <v>362.12</v>
      </c>
      <c r="F519" s="10">
        <v>1.37</v>
      </c>
      <c r="G519" s="22">
        <f t="shared" si="32"/>
        <v>159.75195999999991</v>
      </c>
      <c r="H519" s="21" t="s">
        <v>456</v>
      </c>
      <c r="I519" s="9"/>
      <c r="K519"/>
      <c r="L519" s="7">
        <f t="shared" si="31"/>
        <v>362.12</v>
      </c>
      <c r="M519" s="6"/>
      <c r="R519" s="7"/>
      <c r="S519" s="7"/>
    </row>
    <row r="520" spans="1:19" ht="14" x14ac:dyDescent="0.15">
      <c r="A520" s="21">
        <v>516</v>
      </c>
      <c r="B520" s="9" t="s">
        <v>543</v>
      </c>
      <c r="C520" s="9" t="s">
        <v>23</v>
      </c>
      <c r="D520" s="10">
        <v>304.77999999999997</v>
      </c>
      <c r="E520" s="10">
        <v>304.77999999999997</v>
      </c>
      <c r="F520" s="10">
        <v>1.68</v>
      </c>
      <c r="G520" s="22">
        <f t="shared" si="32"/>
        <v>160.05673999999991</v>
      </c>
      <c r="H520" s="21" t="s">
        <v>456</v>
      </c>
      <c r="I520" s="9"/>
      <c r="K520"/>
      <c r="L520" s="7">
        <f t="shared" si="31"/>
        <v>304.77999999999997</v>
      </c>
      <c r="M520" s="6"/>
      <c r="R520" s="7"/>
      <c r="S520" s="7"/>
    </row>
    <row r="521" spans="1:19" ht="14" x14ac:dyDescent="0.15">
      <c r="A521" s="21">
        <v>517</v>
      </c>
      <c r="B521" s="9" t="s">
        <v>544</v>
      </c>
      <c r="C521" s="9" t="s">
        <v>19</v>
      </c>
      <c r="D521" s="10">
        <v>343.28</v>
      </c>
      <c r="E521" s="10">
        <v>351.78</v>
      </c>
      <c r="F521" s="10">
        <v>57.55</v>
      </c>
      <c r="G521" s="22">
        <f t="shared" si="32"/>
        <v>160.4085199999999</v>
      </c>
      <c r="H521" s="21" t="s">
        <v>456</v>
      </c>
      <c r="I521" s="9"/>
      <c r="K521" s="7">
        <f>D521+8.5</f>
        <v>351.78</v>
      </c>
      <c r="L521" s="7">
        <f t="shared" si="31"/>
        <v>351.78</v>
      </c>
      <c r="M521" s="6"/>
      <c r="R521" s="7"/>
      <c r="S521" s="7"/>
    </row>
    <row r="522" spans="1:19" ht="14" x14ac:dyDescent="0.15">
      <c r="A522" s="21">
        <v>518</v>
      </c>
      <c r="B522" s="9" t="s">
        <v>545</v>
      </c>
      <c r="C522" s="9" t="s">
        <v>16</v>
      </c>
      <c r="D522" s="10">
        <v>328.27</v>
      </c>
      <c r="E522" s="10">
        <v>328.27</v>
      </c>
      <c r="F522" s="10">
        <v>11.33</v>
      </c>
      <c r="G522" s="22">
        <f t="shared" si="32"/>
        <v>160.7367899999999</v>
      </c>
      <c r="H522" s="21" t="s">
        <v>456</v>
      </c>
      <c r="I522" s="9"/>
      <c r="K522"/>
      <c r="L522" s="7">
        <f t="shared" si="31"/>
        <v>328.27</v>
      </c>
      <c r="M522" s="6"/>
      <c r="R522" s="7"/>
      <c r="S522" s="7"/>
    </row>
    <row r="523" spans="1:19" ht="14" x14ac:dyDescent="0.15">
      <c r="A523" s="21">
        <v>519</v>
      </c>
      <c r="B523" s="9" t="s">
        <v>546</v>
      </c>
      <c r="C523" s="9" t="s">
        <v>23</v>
      </c>
      <c r="D523" s="10">
        <v>290.52</v>
      </c>
      <c r="E523" s="10">
        <v>290.52</v>
      </c>
      <c r="F523" s="10">
        <v>0.75</v>
      </c>
      <c r="G523" s="22">
        <f t="shared" si="32"/>
        <v>161.02730999999989</v>
      </c>
      <c r="H523" s="21" t="s">
        <v>456</v>
      </c>
      <c r="I523" s="9"/>
      <c r="K523"/>
      <c r="L523" s="7">
        <f t="shared" si="31"/>
        <v>290.52</v>
      </c>
      <c r="M523" s="6"/>
      <c r="R523" s="7"/>
      <c r="S523" s="7"/>
    </row>
    <row r="524" spans="1:19" ht="14" x14ac:dyDescent="0.15">
      <c r="A524" s="21">
        <v>520</v>
      </c>
      <c r="B524" s="9" t="s">
        <v>547</v>
      </c>
      <c r="C524" s="9" t="s">
        <v>23</v>
      </c>
      <c r="D524" s="10">
        <v>284.26</v>
      </c>
      <c r="E524" s="10">
        <v>284.26</v>
      </c>
      <c r="F524" s="10">
        <v>0.51</v>
      </c>
      <c r="G524" s="22">
        <f t="shared" si="32"/>
        <v>161.31156999999988</v>
      </c>
      <c r="H524" s="21" t="s">
        <v>456</v>
      </c>
      <c r="I524" s="9"/>
      <c r="K524"/>
      <c r="L524" s="7">
        <f t="shared" si="31"/>
        <v>284.26</v>
      </c>
      <c r="M524" s="6"/>
      <c r="R524" s="7"/>
      <c r="S524" s="7"/>
    </row>
    <row r="525" spans="1:19" ht="14" x14ac:dyDescent="0.15">
      <c r="A525" s="21">
        <v>521</v>
      </c>
      <c r="B525" s="9" t="s">
        <v>548</v>
      </c>
      <c r="C525" s="9" t="s">
        <v>23</v>
      </c>
      <c r="D525" s="10">
        <v>348.12</v>
      </c>
      <c r="E525" s="10">
        <v>348.12</v>
      </c>
      <c r="F525" s="10">
        <v>0.59</v>
      </c>
      <c r="G525" s="22">
        <f t="shared" si="32"/>
        <v>161.65968999999987</v>
      </c>
      <c r="H525" s="21" t="s">
        <v>456</v>
      </c>
      <c r="I525" s="9"/>
      <c r="K525"/>
      <c r="L525" s="7">
        <f t="shared" si="31"/>
        <v>348.12</v>
      </c>
      <c r="M525" s="6"/>
      <c r="R525" s="7"/>
      <c r="S525" s="7"/>
    </row>
    <row r="526" spans="1:19" ht="14" x14ac:dyDescent="0.15">
      <c r="A526" s="21">
        <v>522</v>
      </c>
      <c r="B526" s="9" t="s">
        <v>549</v>
      </c>
      <c r="C526" s="9" t="s">
        <v>19</v>
      </c>
      <c r="D526" s="10">
        <v>338.78</v>
      </c>
      <c r="E526" s="10">
        <v>347.28</v>
      </c>
      <c r="F526" s="10">
        <v>40.44</v>
      </c>
      <c r="G526" s="22">
        <f t="shared" si="32"/>
        <v>162.00696999999988</v>
      </c>
      <c r="H526" s="21" t="s">
        <v>456</v>
      </c>
      <c r="I526" s="9"/>
      <c r="K526" s="7">
        <f>D526+8.5</f>
        <v>347.28</v>
      </c>
      <c r="L526" s="7">
        <f t="shared" si="31"/>
        <v>347.28</v>
      </c>
      <c r="M526" s="6"/>
      <c r="R526" s="7"/>
      <c r="S526" s="7"/>
    </row>
    <row r="527" spans="1:19" ht="14" x14ac:dyDescent="0.15">
      <c r="A527" s="21">
        <v>523</v>
      </c>
      <c r="B527" s="9" t="s">
        <v>550</v>
      </c>
      <c r="C527" s="9" t="s">
        <v>16</v>
      </c>
      <c r="D527" s="10">
        <v>361.71</v>
      </c>
      <c r="E527" s="10">
        <v>361.71</v>
      </c>
      <c r="F527" s="10">
        <v>4.88</v>
      </c>
      <c r="G527" s="22">
        <f t="shared" si="32"/>
        <v>162.36867999999987</v>
      </c>
      <c r="H527" s="21" t="s">
        <v>456</v>
      </c>
      <c r="I527" s="9"/>
      <c r="K527"/>
      <c r="L527" s="7">
        <f t="shared" si="31"/>
        <v>361.71</v>
      </c>
      <c r="M527" s="6"/>
      <c r="R527" s="7"/>
      <c r="S527" s="7"/>
    </row>
    <row r="528" spans="1:19" ht="14" x14ac:dyDescent="0.15">
      <c r="A528" s="21">
        <v>524</v>
      </c>
      <c r="B528" s="9" t="s">
        <v>551</v>
      </c>
      <c r="C528" s="9" t="s">
        <v>23</v>
      </c>
      <c r="D528" s="10">
        <v>338.58</v>
      </c>
      <c r="E528" s="10">
        <v>338.58</v>
      </c>
      <c r="F528" s="10">
        <v>1.41</v>
      </c>
      <c r="G528" s="22">
        <f t="shared" si="32"/>
        <v>162.70725999999988</v>
      </c>
      <c r="H528" s="21" t="s">
        <v>456</v>
      </c>
      <c r="I528" s="9"/>
      <c r="K528"/>
      <c r="L528" s="7">
        <f t="shared" si="31"/>
        <v>338.58</v>
      </c>
      <c r="M528" s="6"/>
      <c r="R528" s="7"/>
      <c r="S528" s="7"/>
    </row>
    <row r="529" spans="1:19" ht="14" x14ac:dyDescent="0.15">
      <c r="A529" s="21">
        <v>525</v>
      </c>
      <c r="B529" s="9" t="s">
        <v>552</v>
      </c>
      <c r="C529" s="9" t="s">
        <v>28</v>
      </c>
      <c r="D529" s="10">
        <v>342.76</v>
      </c>
      <c r="E529" s="10">
        <v>351.26</v>
      </c>
      <c r="F529" s="10">
        <v>26.95</v>
      </c>
      <c r="G529" s="22">
        <f t="shared" si="32"/>
        <v>163.05851999999987</v>
      </c>
      <c r="H529" s="21" t="s">
        <v>456</v>
      </c>
      <c r="I529" s="9"/>
      <c r="K529" s="7">
        <f>D529+8.5</f>
        <v>351.26</v>
      </c>
      <c r="L529" s="7">
        <f t="shared" si="31"/>
        <v>351.26</v>
      </c>
      <c r="M529" s="6"/>
      <c r="R529" s="7"/>
      <c r="S529" s="7"/>
    </row>
    <row r="530" spans="1:19" ht="14" x14ac:dyDescent="0.15">
      <c r="A530" s="21">
        <v>526</v>
      </c>
      <c r="B530" s="9" t="s">
        <v>553</v>
      </c>
      <c r="C530" s="9" t="s">
        <v>23</v>
      </c>
      <c r="D530" s="10">
        <v>322.29000000000002</v>
      </c>
      <c r="E530" s="10">
        <v>322.29000000000002</v>
      </c>
      <c r="F530" s="10">
        <v>1.89</v>
      </c>
      <c r="G530" s="22">
        <f t="shared" si="32"/>
        <v>163.38080999999988</v>
      </c>
      <c r="H530" s="21" t="s">
        <v>456</v>
      </c>
      <c r="I530" s="9"/>
      <c r="K530"/>
      <c r="L530" s="7">
        <f t="shared" si="31"/>
        <v>322.29000000000002</v>
      </c>
      <c r="M530" s="6"/>
      <c r="R530" s="7"/>
      <c r="S530" s="7"/>
    </row>
    <row r="531" spans="1:19" ht="14" x14ac:dyDescent="0.15">
      <c r="A531" s="21">
        <v>527</v>
      </c>
      <c r="B531" s="9" t="s">
        <v>554</v>
      </c>
      <c r="C531" s="9" t="s">
        <v>23</v>
      </c>
      <c r="D531" s="10">
        <v>326.36</v>
      </c>
      <c r="E531" s="10">
        <v>326.36</v>
      </c>
      <c r="F531" s="10">
        <v>0.4</v>
      </c>
      <c r="G531" s="22">
        <f t="shared" si="32"/>
        <v>163.70716999999988</v>
      </c>
      <c r="H531" s="21" t="s">
        <v>456</v>
      </c>
      <c r="I531" s="9"/>
      <c r="K531"/>
      <c r="L531" s="7">
        <f t="shared" si="31"/>
        <v>326.36</v>
      </c>
      <c r="M531" s="6"/>
      <c r="R531" s="7"/>
      <c r="S531" s="7"/>
    </row>
    <row r="532" spans="1:19" ht="14" x14ac:dyDescent="0.15">
      <c r="A532" s="21">
        <v>528</v>
      </c>
      <c r="B532" s="9" t="s">
        <v>555</v>
      </c>
      <c r="C532" s="9" t="s">
        <v>28</v>
      </c>
      <c r="D532" s="10">
        <v>319.10000000000002</v>
      </c>
      <c r="E532" s="10">
        <v>327.60000000000002</v>
      </c>
      <c r="F532" s="10">
        <v>0.19</v>
      </c>
      <c r="G532" s="22">
        <f t="shared" si="32"/>
        <v>164.03476999999987</v>
      </c>
      <c r="H532" s="21" t="s">
        <v>456</v>
      </c>
      <c r="I532" s="9"/>
      <c r="K532" s="7">
        <f>D532+8.5</f>
        <v>327.60000000000002</v>
      </c>
      <c r="L532" s="7">
        <f t="shared" si="31"/>
        <v>327.60000000000002</v>
      </c>
      <c r="M532" s="6"/>
      <c r="R532" s="7"/>
      <c r="S532" s="7"/>
    </row>
    <row r="533" spans="1:19" ht="14" x14ac:dyDescent="0.15">
      <c r="A533" s="21">
        <v>529</v>
      </c>
      <c r="B533" s="9" t="s">
        <v>556</v>
      </c>
      <c r="C533" s="9" t="s">
        <v>23</v>
      </c>
      <c r="D533" s="10">
        <v>382.72</v>
      </c>
      <c r="E533" s="10">
        <v>382.72</v>
      </c>
      <c r="F533" s="10">
        <v>25.08</v>
      </c>
      <c r="G533" s="22">
        <f t="shared" si="32"/>
        <v>164.41748999999987</v>
      </c>
      <c r="H533" s="21" t="s">
        <v>456</v>
      </c>
      <c r="I533" s="9"/>
      <c r="K533"/>
      <c r="L533" s="7">
        <f t="shared" si="31"/>
        <v>382.72</v>
      </c>
      <c r="M533" s="6"/>
      <c r="R533" s="7"/>
      <c r="S533" s="7"/>
    </row>
    <row r="534" spans="1:19" ht="14" x14ac:dyDescent="0.15">
      <c r="A534" s="21">
        <v>530</v>
      </c>
      <c r="B534" s="9" t="s">
        <v>557</v>
      </c>
      <c r="C534" s="9" t="s">
        <v>23</v>
      </c>
      <c r="D534" s="10">
        <v>415.72</v>
      </c>
      <c r="E534" s="10">
        <v>415.72</v>
      </c>
      <c r="F534" s="10">
        <v>2.36</v>
      </c>
      <c r="G534" s="22">
        <f t="shared" si="32"/>
        <v>164.83320999999987</v>
      </c>
      <c r="H534" s="21" t="s">
        <v>456</v>
      </c>
      <c r="I534" s="9"/>
      <c r="K534"/>
      <c r="L534" s="7">
        <f t="shared" si="31"/>
        <v>415.72</v>
      </c>
      <c r="M534" s="6"/>
      <c r="R534" s="7"/>
      <c r="S534" s="7"/>
    </row>
    <row r="535" spans="1:19" ht="14" x14ac:dyDescent="0.15">
      <c r="A535" s="21">
        <v>531</v>
      </c>
      <c r="B535" s="9" t="s">
        <v>558</v>
      </c>
      <c r="C535" s="9" t="s">
        <v>19</v>
      </c>
      <c r="D535" s="10">
        <v>237.32</v>
      </c>
      <c r="E535" s="10">
        <v>245.82</v>
      </c>
      <c r="F535" s="10">
        <v>41.63</v>
      </c>
      <c r="G535" s="22">
        <f t="shared" si="32"/>
        <v>165.07902999999988</v>
      </c>
      <c r="H535" s="21" t="s">
        <v>456</v>
      </c>
      <c r="I535" s="9"/>
      <c r="K535" s="7">
        <f>D535+8.5</f>
        <v>245.82</v>
      </c>
      <c r="L535" s="7">
        <f t="shared" si="31"/>
        <v>245.82</v>
      </c>
      <c r="M535" s="6"/>
      <c r="R535" s="7"/>
      <c r="S535" s="7"/>
    </row>
    <row r="536" spans="1:19" ht="14" x14ac:dyDescent="0.15">
      <c r="A536" s="21">
        <v>532</v>
      </c>
      <c r="B536" s="9" t="s">
        <v>559</v>
      </c>
      <c r="C536" s="9" t="s">
        <v>23</v>
      </c>
      <c r="D536" s="10">
        <v>243.18</v>
      </c>
      <c r="E536" s="10">
        <v>243.18</v>
      </c>
      <c r="F536" s="10">
        <v>0.57999999999999996</v>
      </c>
      <c r="G536" s="22">
        <f t="shared" si="32"/>
        <v>165.32220999999987</v>
      </c>
      <c r="H536" s="21" t="s">
        <v>456</v>
      </c>
      <c r="I536" s="9"/>
      <c r="K536"/>
      <c r="L536" s="7">
        <f t="shared" si="31"/>
        <v>243.18</v>
      </c>
      <c r="M536" s="6"/>
      <c r="R536" s="7"/>
      <c r="S536" s="7"/>
    </row>
    <row r="537" spans="1:19" ht="14" x14ac:dyDescent="0.15">
      <c r="A537" s="21">
        <v>533</v>
      </c>
      <c r="B537" s="9" t="s">
        <v>560</v>
      </c>
      <c r="C537" s="9" t="s">
        <v>19</v>
      </c>
      <c r="D537" s="10">
        <v>291.62</v>
      </c>
      <c r="E537" s="10">
        <v>300.12</v>
      </c>
      <c r="F537" s="10">
        <v>56.83</v>
      </c>
      <c r="G537" s="22">
        <f t="shared" si="32"/>
        <v>165.62232999999986</v>
      </c>
      <c r="H537" s="21" t="s">
        <v>456</v>
      </c>
      <c r="I537" s="9"/>
      <c r="K537" s="7">
        <f>D537+8.5</f>
        <v>300.12</v>
      </c>
      <c r="L537" s="7">
        <f t="shared" si="31"/>
        <v>300.12</v>
      </c>
      <c r="M537" s="6"/>
      <c r="R537" s="7"/>
      <c r="S537" s="7"/>
    </row>
    <row r="538" spans="1:19" ht="14" x14ac:dyDescent="0.15">
      <c r="A538" s="21">
        <v>534</v>
      </c>
      <c r="B538" s="9" t="s">
        <v>561</v>
      </c>
      <c r="C538" s="9" t="s">
        <v>23</v>
      </c>
      <c r="D538" s="10">
        <v>329.85</v>
      </c>
      <c r="E538" s="10">
        <v>329.85</v>
      </c>
      <c r="F538" s="10">
        <v>0.41</v>
      </c>
      <c r="G538" s="22">
        <f t="shared" si="32"/>
        <v>165.95217999999986</v>
      </c>
      <c r="H538" s="21" t="s">
        <v>456</v>
      </c>
      <c r="I538" s="9"/>
      <c r="K538"/>
      <c r="L538" s="7">
        <f t="shared" si="31"/>
        <v>329.85</v>
      </c>
      <c r="M538" s="6"/>
      <c r="R538" s="7"/>
      <c r="S538" s="7"/>
    </row>
    <row r="539" spans="1:19" ht="14" x14ac:dyDescent="0.15">
      <c r="A539" s="21">
        <v>535</v>
      </c>
      <c r="B539" s="9" t="s">
        <v>562</v>
      </c>
      <c r="C539" s="9" t="s">
        <v>28</v>
      </c>
      <c r="D539" s="10">
        <v>330.15</v>
      </c>
      <c r="E539" s="10">
        <v>338.65</v>
      </c>
      <c r="F539" s="10">
        <v>28.37</v>
      </c>
      <c r="G539" s="22">
        <f t="shared" si="32"/>
        <v>166.29082999999986</v>
      </c>
      <c r="H539" s="21" t="s">
        <v>456</v>
      </c>
      <c r="I539" s="9"/>
      <c r="K539" s="7">
        <f>D539+8.5</f>
        <v>338.65</v>
      </c>
      <c r="L539" s="7">
        <f t="shared" si="31"/>
        <v>338.65</v>
      </c>
      <c r="M539" s="6"/>
      <c r="R539" s="7"/>
      <c r="S539" s="7"/>
    </row>
    <row r="540" spans="1:19" ht="14" x14ac:dyDescent="0.15">
      <c r="A540" s="21">
        <v>536</v>
      </c>
      <c r="B540" s="9" t="s">
        <v>563</v>
      </c>
      <c r="C540" s="9" t="s">
        <v>23</v>
      </c>
      <c r="D540" s="10">
        <v>325.10000000000002</v>
      </c>
      <c r="E540" s="10">
        <v>325.10000000000002</v>
      </c>
      <c r="F540" s="10">
        <v>0.26</v>
      </c>
      <c r="G540" s="22">
        <f t="shared" si="32"/>
        <v>166.61592999999985</v>
      </c>
      <c r="H540" s="21" t="s">
        <v>456</v>
      </c>
      <c r="I540" s="9"/>
      <c r="K540"/>
      <c r="L540" s="7">
        <f t="shared" si="31"/>
        <v>325.10000000000002</v>
      </c>
      <c r="M540" s="6"/>
      <c r="R540" s="7"/>
      <c r="S540" s="7"/>
    </row>
    <row r="541" spans="1:19" ht="14" x14ac:dyDescent="0.15">
      <c r="A541" s="21">
        <v>537</v>
      </c>
      <c r="B541" s="9" t="s">
        <v>564</v>
      </c>
      <c r="C541" s="9" t="s">
        <v>23</v>
      </c>
      <c r="D541" s="10">
        <v>245.87</v>
      </c>
      <c r="E541" s="10">
        <v>245.87</v>
      </c>
      <c r="F541" s="10">
        <v>0.47</v>
      </c>
      <c r="G541" s="22">
        <f t="shared" si="32"/>
        <v>166.86179999999985</v>
      </c>
      <c r="H541" s="21" t="s">
        <v>456</v>
      </c>
      <c r="I541" s="9"/>
      <c r="K541"/>
      <c r="L541" s="7">
        <f t="shared" si="31"/>
        <v>245.87</v>
      </c>
      <c r="M541" s="6"/>
      <c r="R541" s="7"/>
      <c r="S541" s="7"/>
    </row>
    <row r="542" spans="1:19" ht="14" x14ac:dyDescent="0.15">
      <c r="A542" s="21">
        <v>538</v>
      </c>
      <c r="B542" s="9" t="s">
        <v>565</v>
      </c>
      <c r="C542" s="9" t="s">
        <v>23</v>
      </c>
      <c r="D542" s="10">
        <v>362.46</v>
      </c>
      <c r="E542" s="10">
        <v>362.46</v>
      </c>
      <c r="F542" s="10">
        <v>0.4</v>
      </c>
      <c r="G542" s="22">
        <f t="shared" si="32"/>
        <v>167.22425999999984</v>
      </c>
      <c r="H542" s="21" t="s">
        <v>456</v>
      </c>
      <c r="I542" s="9"/>
      <c r="K542"/>
      <c r="L542" s="7">
        <f t="shared" si="31"/>
        <v>362.46</v>
      </c>
      <c r="M542" s="6"/>
      <c r="R542" s="7"/>
      <c r="S542" s="7"/>
    </row>
    <row r="543" spans="1:19" ht="14" x14ac:dyDescent="0.15">
      <c r="A543" s="21">
        <v>539</v>
      </c>
      <c r="B543" s="9" t="s">
        <v>566</v>
      </c>
      <c r="C543" s="9" t="s">
        <v>23</v>
      </c>
      <c r="D543" s="10">
        <v>302.02999999999997</v>
      </c>
      <c r="E543" s="10">
        <v>302.02999999999997</v>
      </c>
      <c r="F543" s="10">
        <v>0.94</v>
      </c>
      <c r="G543" s="22">
        <f t="shared" si="32"/>
        <v>167.52628999999985</v>
      </c>
      <c r="H543" s="21" t="s">
        <v>456</v>
      </c>
      <c r="I543" s="9"/>
      <c r="K543"/>
      <c r="L543" s="7">
        <f t="shared" si="31"/>
        <v>302.02999999999997</v>
      </c>
      <c r="M543" s="6"/>
      <c r="R543" s="7"/>
      <c r="S543" s="7"/>
    </row>
    <row r="544" spans="1:19" ht="14" x14ac:dyDescent="0.15">
      <c r="A544" s="21">
        <v>540</v>
      </c>
      <c r="B544" s="9" t="s">
        <v>567</v>
      </c>
      <c r="C544" s="9" t="s">
        <v>19</v>
      </c>
      <c r="D544" s="10">
        <v>226.24</v>
      </c>
      <c r="E544" s="10">
        <v>234.74</v>
      </c>
      <c r="F544" s="10">
        <v>37.94</v>
      </c>
      <c r="G544" s="22">
        <f t="shared" si="32"/>
        <v>167.76102999999983</v>
      </c>
      <c r="H544" s="21" t="s">
        <v>456</v>
      </c>
      <c r="I544" s="9"/>
      <c r="K544" s="7">
        <f>D544+8.5</f>
        <v>234.74</v>
      </c>
      <c r="L544" s="7">
        <f t="shared" si="31"/>
        <v>234.74</v>
      </c>
      <c r="M544" s="6"/>
      <c r="R544" s="7"/>
      <c r="S544" s="7"/>
    </row>
    <row r="545" spans="1:19" ht="14" x14ac:dyDescent="0.15">
      <c r="A545" s="21">
        <v>541</v>
      </c>
      <c r="B545" s="9" t="s">
        <v>568</v>
      </c>
      <c r="C545" s="9" t="s">
        <v>23</v>
      </c>
      <c r="D545" s="10">
        <v>254.12</v>
      </c>
      <c r="E545" s="10">
        <v>254.12</v>
      </c>
      <c r="F545" s="10">
        <v>0.04</v>
      </c>
      <c r="G545" s="22">
        <f t="shared" si="32"/>
        <v>168.01514999999984</v>
      </c>
      <c r="H545" s="21" t="s">
        <v>456</v>
      </c>
      <c r="I545" s="9"/>
      <c r="K545"/>
      <c r="L545" s="7">
        <f t="shared" si="31"/>
        <v>254.12</v>
      </c>
      <c r="M545" s="6"/>
      <c r="R545" s="7"/>
      <c r="S545" s="7"/>
    </row>
    <row r="546" spans="1:19" ht="14" x14ac:dyDescent="0.15">
      <c r="A546" s="21">
        <v>542</v>
      </c>
      <c r="B546" s="9" t="s">
        <v>569</v>
      </c>
      <c r="C546" s="9" t="s">
        <v>19</v>
      </c>
      <c r="D546" s="10">
        <v>314.92</v>
      </c>
      <c r="E546" s="10">
        <v>323.42</v>
      </c>
      <c r="F546" s="10">
        <v>52.86</v>
      </c>
      <c r="G546" s="22">
        <f t="shared" si="32"/>
        <v>168.33856999999983</v>
      </c>
      <c r="H546" s="21" t="s">
        <v>456</v>
      </c>
      <c r="I546" s="9"/>
      <c r="K546" s="7">
        <f t="shared" ref="K546:K547" si="33">D546+8.5</f>
        <v>323.42</v>
      </c>
      <c r="L546" s="7">
        <f t="shared" si="31"/>
        <v>323.42</v>
      </c>
      <c r="M546" s="6"/>
      <c r="R546" s="7"/>
      <c r="S546" s="7"/>
    </row>
    <row r="547" spans="1:19" ht="14" x14ac:dyDescent="0.15">
      <c r="A547" s="21">
        <v>543</v>
      </c>
      <c r="B547" s="9" t="s">
        <v>570</v>
      </c>
      <c r="C547" s="9" t="s">
        <v>19</v>
      </c>
      <c r="D547" s="10">
        <v>303.52</v>
      </c>
      <c r="E547" s="10">
        <v>312.02</v>
      </c>
      <c r="F547" s="10">
        <v>54.18</v>
      </c>
      <c r="G547" s="22">
        <f t="shared" si="32"/>
        <v>168.65058999999982</v>
      </c>
      <c r="H547" s="21" t="s">
        <v>456</v>
      </c>
      <c r="I547" s="9"/>
      <c r="K547" s="7">
        <f t="shared" si="33"/>
        <v>312.02</v>
      </c>
      <c r="L547" s="7">
        <f t="shared" si="31"/>
        <v>312.02</v>
      </c>
      <c r="M547" s="6"/>
      <c r="R547" s="7"/>
      <c r="S547" s="7"/>
    </row>
    <row r="548" spans="1:19" ht="14" x14ac:dyDescent="0.15">
      <c r="A548" s="21">
        <v>544</v>
      </c>
      <c r="B548" s="9" t="s">
        <v>571</v>
      </c>
      <c r="C548" s="9" t="s">
        <v>23</v>
      </c>
      <c r="D548" s="10">
        <v>291.60000000000002</v>
      </c>
      <c r="E548" s="10">
        <v>291.60000000000002</v>
      </c>
      <c r="F548" s="10">
        <v>0.35</v>
      </c>
      <c r="G548" s="22">
        <f t="shared" si="32"/>
        <v>168.94218999999981</v>
      </c>
      <c r="H548" s="21" t="s">
        <v>456</v>
      </c>
      <c r="I548" s="9"/>
      <c r="K548"/>
      <c r="L548" s="7">
        <f t="shared" si="31"/>
        <v>291.60000000000002</v>
      </c>
      <c r="M548" s="6"/>
      <c r="R548" s="7"/>
      <c r="S548" s="7"/>
    </row>
    <row r="549" spans="1:19" ht="14" x14ac:dyDescent="0.15">
      <c r="A549" s="21">
        <v>545</v>
      </c>
      <c r="B549" s="9" t="s">
        <v>572</v>
      </c>
      <c r="C549" s="9" t="s">
        <v>28</v>
      </c>
      <c r="D549" s="10">
        <v>291.52</v>
      </c>
      <c r="E549" s="10">
        <v>300.02</v>
      </c>
      <c r="F549" s="10">
        <v>17.59</v>
      </c>
      <c r="G549" s="22">
        <f t="shared" si="32"/>
        <v>169.2422099999998</v>
      </c>
      <c r="H549" s="21" t="s">
        <v>456</v>
      </c>
      <c r="I549" s="9"/>
      <c r="K549" s="7">
        <f>D549+8.5</f>
        <v>300.02</v>
      </c>
      <c r="L549" s="7">
        <f t="shared" si="31"/>
        <v>300.02</v>
      </c>
      <c r="M549" s="6"/>
      <c r="R549" s="7"/>
      <c r="S549" s="7"/>
    </row>
    <row r="550" spans="1:19" ht="14" x14ac:dyDescent="0.15">
      <c r="A550" s="21">
        <v>546</v>
      </c>
      <c r="B550" s="9" t="s">
        <v>573</v>
      </c>
      <c r="C550" s="9" t="s">
        <v>23</v>
      </c>
      <c r="D550" s="10">
        <v>290.81</v>
      </c>
      <c r="E550" s="10">
        <v>290.81</v>
      </c>
      <c r="F550" s="10">
        <v>0.67</v>
      </c>
      <c r="G550" s="22">
        <f t="shared" si="32"/>
        <v>169.53301999999979</v>
      </c>
      <c r="H550" s="21" t="s">
        <v>456</v>
      </c>
      <c r="I550" s="9"/>
      <c r="K550"/>
      <c r="L550" s="7">
        <f t="shared" si="31"/>
        <v>290.81</v>
      </c>
      <c r="M550" s="6"/>
      <c r="R550" s="7"/>
      <c r="S550" s="7"/>
    </row>
    <row r="551" spans="1:19" ht="14" x14ac:dyDescent="0.15">
      <c r="A551" s="21">
        <v>547</v>
      </c>
      <c r="B551" s="9" t="s">
        <v>574</v>
      </c>
      <c r="C551" s="9" t="s">
        <v>23</v>
      </c>
      <c r="D551" s="10">
        <v>237.73</v>
      </c>
      <c r="E551" s="10">
        <v>237.73</v>
      </c>
      <c r="F551" s="10">
        <v>0.42</v>
      </c>
      <c r="G551" s="22">
        <f t="shared" si="32"/>
        <v>169.77074999999979</v>
      </c>
      <c r="H551" s="21" t="s">
        <v>456</v>
      </c>
      <c r="I551" s="9"/>
      <c r="K551"/>
      <c r="L551" s="7">
        <f t="shared" si="31"/>
        <v>237.73</v>
      </c>
      <c r="M551" s="6"/>
      <c r="R551" s="7"/>
      <c r="S551" s="7"/>
    </row>
    <row r="552" spans="1:19" ht="14" x14ac:dyDescent="0.15">
      <c r="A552" s="21">
        <v>548</v>
      </c>
      <c r="B552" s="9" t="s">
        <v>575</v>
      </c>
      <c r="C552" s="9" t="s">
        <v>28</v>
      </c>
      <c r="D552" s="10">
        <v>210.19</v>
      </c>
      <c r="E552" s="10">
        <v>218.69</v>
      </c>
      <c r="F552" s="10">
        <v>28.57</v>
      </c>
      <c r="G552" s="22">
        <f t="shared" si="32"/>
        <v>169.9894399999998</v>
      </c>
      <c r="H552" s="21" t="s">
        <v>456</v>
      </c>
      <c r="I552" s="9"/>
      <c r="K552" s="7">
        <f t="shared" ref="K552:K559" si="34">D552+8.5</f>
        <v>218.69</v>
      </c>
      <c r="L552" s="7">
        <f t="shared" si="31"/>
        <v>218.69</v>
      </c>
      <c r="M552" s="6"/>
      <c r="R552" s="7"/>
      <c r="S552" s="7"/>
    </row>
    <row r="553" spans="1:19" ht="14" x14ac:dyDescent="0.15">
      <c r="A553" s="21">
        <v>549</v>
      </c>
      <c r="B553" s="9" t="s">
        <v>576</v>
      </c>
      <c r="C553" s="9" t="s">
        <v>28</v>
      </c>
      <c r="D553" s="10">
        <v>263.14999999999998</v>
      </c>
      <c r="E553" s="10">
        <v>271.64999999999998</v>
      </c>
      <c r="F553" s="10">
        <v>10.07</v>
      </c>
      <c r="G553" s="22">
        <f t="shared" si="32"/>
        <v>170.2610899999998</v>
      </c>
      <c r="H553" s="21" t="s">
        <v>456</v>
      </c>
      <c r="I553" s="9"/>
      <c r="K553" s="7">
        <f t="shared" si="34"/>
        <v>271.64999999999998</v>
      </c>
      <c r="L553" s="7">
        <f t="shared" si="31"/>
        <v>271.64999999999998</v>
      </c>
      <c r="M553" s="6"/>
      <c r="R553" s="7"/>
      <c r="S553" s="7"/>
    </row>
    <row r="554" spans="1:19" ht="14" x14ac:dyDescent="0.15">
      <c r="A554" s="21">
        <v>550</v>
      </c>
      <c r="B554" s="9" t="s">
        <v>577</v>
      </c>
      <c r="C554" s="9" t="s">
        <v>19</v>
      </c>
      <c r="D554" s="10">
        <v>146.47999999999999</v>
      </c>
      <c r="E554" s="10">
        <v>154.97999999999999</v>
      </c>
      <c r="F554" s="10">
        <v>31.54</v>
      </c>
      <c r="G554" s="22">
        <f t="shared" si="32"/>
        <v>170.41606999999979</v>
      </c>
      <c r="H554" s="21" t="s">
        <v>456</v>
      </c>
      <c r="I554" s="9"/>
      <c r="K554" s="7">
        <f t="shared" si="34"/>
        <v>154.97999999999999</v>
      </c>
      <c r="L554" s="7">
        <f t="shared" si="31"/>
        <v>154.97999999999999</v>
      </c>
      <c r="M554" s="6"/>
      <c r="R554" s="7"/>
      <c r="S554" s="7"/>
    </row>
    <row r="555" spans="1:19" ht="14" x14ac:dyDescent="0.15">
      <c r="A555" s="21">
        <v>551</v>
      </c>
      <c r="B555" s="9" t="s">
        <v>578</v>
      </c>
      <c r="C555" s="9" t="s">
        <v>14</v>
      </c>
      <c r="D555" s="10">
        <v>109.88</v>
      </c>
      <c r="E555" s="10">
        <v>118.38</v>
      </c>
      <c r="F555" s="10">
        <v>84.33</v>
      </c>
      <c r="G555" s="22">
        <f t="shared" si="32"/>
        <v>170.53444999999979</v>
      </c>
      <c r="H555" s="21" t="s">
        <v>456</v>
      </c>
      <c r="I555" s="9"/>
      <c r="K555" s="7">
        <f t="shared" si="34"/>
        <v>118.38</v>
      </c>
      <c r="L555" s="7">
        <f t="shared" si="31"/>
        <v>118.38</v>
      </c>
      <c r="R555" s="7"/>
      <c r="S555" s="7"/>
    </row>
    <row r="556" spans="1:19" ht="14" x14ac:dyDescent="0.15">
      <c r="A556" s="21">
        <v>552</v>
      </c>
      <c r="B556" s="9" t="s">
        <v>579</v>
      </c>
      <c r="C556" s="9" t="s">
        <v>14</v>
      </c>
      <c r="D556" s="10">
        <v>157.84</v>
      </c>
      <c r="E556" s="10">
        <v>166.34</v>
      </c>
      <c r="F556" s="10">
        <v>47.21</v>
      </c>
      <c r="G556" s="22">
        <f t="shared" si="32"/>
        <v>170.70078999999978</v>
      </c>
      <c r="H556" s="21" t="s">
        <v>456</v>
      </c>
      <c r="I556" s="9"/>
      <c r="K556" s="7">
        <f t="shared" si="34"/>
        <v>166.34</v>
      </c>
      <c r="L556" s="7">
        <f t="shared" si="31"/>
        <v>166.34</v>
      </c>
      <c r="R556" s="7"/>
      <c r="S556" s="7"/>
    </row>
    <row r="557" spans="1:19" ht="14" x14ac:dyDescent="0.15">
      <c r="A557" s="21">
        <v>553</v>
      </c>
      <c r="B557" s="9" t="s">
        <v>690</v>
      </c>
      <c r="C557" s="9" t="s">
        <v>19</v>
      </c>
      <c r="D557" s="10">
        <v>120</v>
      </c>
      <c r="E557" s="10">
        <v>128.5</v>
      </c>
      <c r="F557" s="10">
        <v>33.04</v>
      </c>
      <c r="G557" s="22">
        <f t="shared" si="32"/>
        <v>170.82928999999979</v>
      </c>
      <c r="H557" s="21" t="s">
        <v>456</v>
      </c>
      <c r="I557" s="9"/>
      <c r="K557" s="7">
        <f t="shared" si="34"/>
        <v>128.5</v>
      </c>
      <c r="L557" s="7">
        <f t="shared" si="31"/>
        <v>128.5</v>
      </c>
      <c r="R557" s="7"/>
      <c r="S557" s="7"/>
    </row>
    <row r="558" spans="1:19" ht="14" x14ac:dyDescent="0.15">
      <c r="A558" s="21">
        <v>554</v>
      </c>
      <c r="B558" s="9" t="s">
        <v>691</v>
      </c>
      <c r="C558" s="9" t="s">
        <v>28</v>
      </c>
      <c r="D558" s="10">
        <v>51.61</v>
      </c>
      <c r="E558" s="10">
        <v>60.11</v>
      </c>
      <c r="F558" s="10">
        <v>5.84</v>
      </c>
      <c r="G558" s="22">
        <f t="shared" si="32"/>
        <v>170.8893999999998</v>
      </c>
      <c r="H558" s="21" t="s">
        <v>456</v>
      </c>
      <c r="I558" s="9"/>
      <c r="K558" s="7">
        <f t="shared" si="34"/>
        <v>60.11</v>
      </c>
      <c r="L558" s="7">
        <f t="shared" si="31"/>
        <v>60.11</v>
      </c>
      <c r="M558" s="6"/>
      <c r="R558" s="7"/>
      <c r="S558" s="7"/>
    </row>
    <row r="559" spans="1:19" ht="42" x14ac:dyDescent="0.15">
      <c r="A559" s="23">
        <v>1</v>
      </c>
      <c r="B559" s="9" t="s">
        <v>580</v>
      </c>
      <c r="C559" s="9" t="s">
        <v>14</v>
      </c>
      <c r="D559" s="10">
        <v>91.73</v>
      </c>
      <c r="E559" s="10">
        <v>100.23</v>
      </c>
      <c r="F559" s="10">
        <v>58.62</v>
      </c>
      <c r="G559" s="22">
        <f t="shared" si="32"/>
        <v>170.98962999999981</v>
      </c>
      <c r="H559" s="23" t="s">
        <v>686</v>
      </c>
      <c r="I559" s="22" t="s">
        <v>687</v>
      </c>
      <c r="K559" s="7">
        <f t="shared" si="34"/>
        <v>100.23</v>
      </c>
      <c r="L559" s="7">
        <f t="shared" si="31"/>
        <v>100.23</v>
      </c>
      <c r="M559" s="6"/>
      <c r="R559" s="7"/>
      <c r="S559" s="7"/>
    </row>
    <row r="560" spans="1:19" ht="28" x14ac:dyDescent="0.15">
      <c r="A560" s="24">
        <v>2</v>
      </c>
      <c r="B560" s="9" t="s">
        <v>583</v>
      </c>
      <c r="C560" s="9" t="s">
        <v>23</v>
      </c>
      <c r="D560" s="10">
        <v>301.14999999999998</v>
      </c>
      <c r="E560" s="10">
        <v>301.14999999999998</v>
      </c>
      <c r="F560" s="10">
        <v>1.32</v>
      </c>
      <c r="G560" s="22">
        <f t="shared" si="32"/>
        <v>171.29077999999981</v>
      </c>
      <c r="H560" s="23" t="s">
        <v>686</v>
      </c>
      <c r="I560" s="9"/>
      <c r="K560"/>
      <c r="L560" s="7">
        <f t="shared" si="31"/>
        <v>301.14999999999998</v>
      </c>
      <c r="M560" s="6"/>
      <c r="R560" s="7"/>
      <c r="S560" s="7"/>
    </row>
    <row r="561" spans="1:19" ht="28" x14ac:dyDescent="0.15">
      <c r="A561" s="24">
        <v>3</v>
      </c>
      <c r="B561" s="9" t="s">
        <v>584</v>
      </c>
      <c r="C561" s="9" t="s">
        <v>14</v>
      </c>
      <c r="D561" s="10">
        <v>213.21</v>
      </c>
      <c r="E561" s="10">
        <v>221.71</v>
      </c>
      <c r="F561" s="10">
        <v>65.84</v>
      </c>
      <c r="G561" s="22">
        <f t="shared" si="32"/>
        <v>171.51248999999981</v>
      </c>
      <c r="H561" s="23" t="s">
        <v>686</v>
      </c>
      <c r="I561" s="9"/>
      <c r="K561" s="7">
        <f t="shared" ref="K561:K563" si="35">D561+8.5</f>
        <v>221.71</v>
      </c>
      <c r="L561" s="7">
        <f t="shared" si="31"/>
        <v>221.71</v>
      </c>
      <c r="M561" s="6"/>
      <c r="R561" s="7"/>
      <c r="S561" s="7"/>
    </row>
    <row r="562" spans="1:19" ht="28" x14ac:dyDescent="0.15">
      <c r="A562" s="24">
        <v>4</v>
      </c>
      <c r="B562" s="9" t="s">
        <v>585</v>
      </c>
      <c r="C562" s="9" t="s">
        <v>28</v>
      </c>
      <c r="D562" s="10">
        <v>300.70999999999998</v>
      </c>
      <c r="E562" s="10">
        <v>309.20999999999998</v>
      </c>
      <c r="F562" s="10">
        <v>1.48</v>
      </c>
      <c r="G562" s="22">
        <f t="shared" si="32"/>
        <v>171.82169999999982</v>
      </c>
      <c r="H562" s="23" t="s">
        <v>686</v>
      </c>
      <c r="I562" s="9"/>
      <c r="K562" s="7">
        <f t="shared" si="35"/>
        <v>309.20999999999998</v>
      </c>
      <c r="L562" s="7">
        <f t="shared" si="31"/>
        <v>309.20999999999998</v>
      </c>
      <c r="M562" s="6"/>
      <c r="R562" s="7"/>
      <c r="S562" s="7"/>
    </row>
    <row r="563" spans="1:19" ht="28" x14ac:dyDescent="0.15">
      <c r="A563" s="24">
        <v>5</v>
      </c>
      <c r="B563" s="9" t="s">
        <v>586</v>
      </c>
      <c r="C563" s="9" t="s">
        <v>28</v>
      </c>
      <c r="D563" s="10">
        <v>261.91000000000003</v>
      </c>
      <c r="E563" s="10">
        <v>270.41000000000003</v>
      </c>
      <c r="F563" s="10">
        <v>25.21</v>
      </c>
      <c r="G563" s="22">
        <f t="shared" si="32"/>
        <v>172.09210999999982</v>
      </c>
      <c r="H563" s="23" t="s">
        <v>686</v>
      </c>
      <c r="I563" s="9"/>
      <c r="K563" s="7">
        <f t="shared" si="35"/>
        <v>270.41000000000003</v>
      </c>
      <c r="L563" s="7">
        <f t="shared" si="31"/>
        <v>270.41000000000003</v>
      </c>
      <c r="M563" s="6"/>
      <c r="R563" s="7"/>
      <c r="S563" s="7"/>
    </row>
    <row r="564" spans="1:19" ht="28" x14ac:dyDescent="0.15">
      <c r="A564" s="24">
        <v>6</v>
      </c>
      <c r="B564" s="9" t="s">
        <v>587</v>
      </c>
      <c r="C564" s="9" t="s">
        <v>23</v>
      </c>
      <c r="D564" s="10">
        <v>356.14</v>
      </c>
      <c r="E564" s="10">
        <v>356.14</v>
      </c>
      <c r="F564" s="10">
        <v>2.41</v>
      </c>
      <c r="G564" s="22">
        <f t="shared" si="32"/>
        <v>172.44824999999983</v>
      </c>
      <c r="H564" s="23" t="s">
        <v>686</v>
      </c>
      <c r="I564" s="9"/>
      <c r="K564"/>
      <c r="L564" s="7">
        <f t="shared" si="31"/>
        <v>356.14</v>
      </c>
      <c r="M564" s="6"/>
      <c r="R564" s="7"/>
      <c r="S564" s="7"/>
    </row>
    <row r="565" spans="1:19" ht="28" x14ac:dyDescent="0.15">
      <c r="A565" s="24">
        <v>7</v>
      </c>
      <c r="B565" s="9" t="s">
        <v>588</v>
      </c>
      <c r="C565" s="9" t="s">
        <v>23</v>
      </c>
      <c r="D565" s="10">
        <v>339.05</v>
      </c>
      <c r="E565" s="10">
        <v>339.05</v>
      </c>
      <c r="F565" s="10">
        <v>1.2</v>
      </c>
      <c r="G565" s="22">
        <f t="shared" si="32"/>
        <v>172.78729999999982</v>
      </c>
      <c r="H565" s="23" t="s">
        <v>686</v>
      </c>
      <c r="I565" s="9"/>
      <c r="K565"/>
      <c r="L565" s="7">
        <f t="shared" si="31"/>
        <v>339.05</v>
      </c>
      <c r="M565" s="6"/>
      <c r="R565" s="7"/>
      <c r="S565" s="7"/>
    </row>
    <row r="566" spans="1:19" ht="28" x14ac:dyDescent="0.15">
      <c r="A566" s="24">
        <v>8</v>
      </c>
      <c r="B566" s="9" t="s">
        <v>589</v>
      </c>
      <c r="C566" s="9" t="s">
        <v>16</v>
      </c>
      <c r="D566" s="10">
        <v>284.54000000000002</v>
      </c>
      <c r="E566" s="10">
        <v>284.54000000000002</v>
      </c>
      <c r="F566" s="10">
        <v>15.45</v>
      </c>
      <c r="G566" s="22">
        <f t="shared" si="32"/>
        <v>173.07183999999981</v>
      </c>
      <c r="H566" s="23" t="s">
        <v>686</v>
      </c>
      <c r="I566" s="9"/>
      <c r="K566"/>
      <c r="L566" s="7">
        <f t="shared" si="31"/>
        <v>284.54000000000002</v>
      </c>
      <c r="M566" s="6"/>
      <c r="R566" s="7"/>
      <c r="S566" s="7"/>
    </row>
    <row r="567" spans="1:19" ht="28" x14ac:dyDescent="0.15">
      <c r="A567" s="24">
        <v>9</v>
      </c>
      <c r="B567" s="9" t="s">
        <v>590</v>
      </c>
      <c r="C567" s="9" t="s">
        <v>23</v>
      </c>
      <c r="D567" s="10">
        <v>337.44</v>
      </c>
      <c r="E567" s="10">
        <v>337.44</v>
      </c>
      <c r="F567" s="10">
        <v>1.03</v>
      </c>
      <c r="G567" s="22">
        <f t="shared" si="32"/>
        <v>173.4092799999998</v>
      </c>
      <c r="H567" s="23" t="s">
        <v>686</v>
      </c>
      <c r="I567" s="9"/>
      <c r="K567"/>
      <c r="L567" s="7">
        <f t="shared" si="31"/>
        <v>337.44</v>
      </c>
      <c r="M567" s="6"/>
      <c r="R567" s="7"/>
      <c r="S567" s="7"/>
    </row>
    <row r="568" spans="1:19" ht="28" x14ac:dyDescent="0.15">
      <c r="A568" s="24">
        <v>10</v>
      </c>
      <c r="B568" s="9" t="s">
        <v>591</v>
      </c>
      <c r="C568" s="9" t="s">
        <v>19</v>
      </c>
      <c r="D568" s="10">
        <v>352.41</v>
      </c>
      <c r="E568" s="10">
        <v>360.91</v>
      </c>
      <c r="F568" s="10">
        <v>33.5</v>
      </c>
      <c r="G568" s="22">
        <f t="shared" si="32"/>
        <v>173.77018999999979</v>
      </c>
      <c r="H568" s="23" t="s">
        <v>686</v>
      </c>
      <c r="I568" s="9"/>
      <c r="K568" s="7">
        <f>D568+8.5</f>
        <v>360.91</v>
      </c>
      <c r="L568" s="7">
        <f t="shared" si="31"/>
        <v>360.91</v>
      </c>
      <c r="M568" s="6"/>
      <c r="R568" s="7"/>
      <c r="S568" s="7"/>
    </row>
    <row r="569" spans="1:19" ht="28" x14ac:dyDescent="0.15">
      <c r="A569" s="24">
        <v>11</v>
      </c>
      <c r="B569" s="9" t="s">
        <v>592</v>
      </c>
      <c r="C569" s="9" t="s">
        <v>23</v>
      </c>
      <c r="D569" s="10">
        <v>268.04000000000002</v>
      </c>
      <c r="E569" s="10">
        <v>268.04000000000002</v>
      </c>
      <c r="F569" s="10">
        <v>2.76</v>
      </c>
      <c r="G569" s="22">
        <f t="shared" si="32"/>
        <v>174.0382299999998</v>
      </c>
      <c r="H569" s="23" t="s">
        <v>686</v>
      </c>
      <c r="I569" s="9"/>
      <c r="K569"/>
      <c r="L569" s="7">
        <f t="shared" si="31"/>
        <v>268.04000000000002</v>
      </c>
      <c r="M569" s="6"/>
      <c r="R569" s="7"/>
      <c r="S569" s="7"/>
    </row>
    <row r="570" spans="1:19" ht="28" x14ac:dyDescent="0.15">
      <c r="A570" s="24">
        <v>12</v>
      </c>
      <c r="B570" s="9" t="s">
        <v>593</v>
      </c>
      <c r="C570" s="9" t="s">
        <v>23</v>
      </c>
      <c r="D570" s="10">
        <v>326.18</v>
      </c>
      <c r="E570" s="10">
        <v>326.18</v>
      </c>
      <c r="F570" s="10">
        <v>1.92</v>
      </c>
      <c r="G570" s="22">
        <f t="shared" si="32"/>
        <v>174.36440999999979</v>
      </c>
      <c r="H570" s="23" t="s">
        <v>686</v>
      </c>
      <c r="I570" s="9"/>
      <c r="K570"/>
      <c r="L570" s="7">
        <f t="shared" si="31"/>
        <v>326.18</v>
      </c>
      <c r="M570" s="6"/>
      <c r="R570" s="7"/>
      <c r="S570" s="7"/>
    </row>
    <row r="571" spans="1:19" ht="28" x14ac:dyDescent="0.15">
      <c r="A571" s="24">
        <v>13</v>
      </c>
      <c r="B571" s="9" t="s">
        <v>594</v>
      </c>
      <c r="C571" s="9" t="s">
        <v>23</v>
      </c>
      <c r="D571" s="10">
        <v>307.55</v>
      </c>
      <c r="E571" s="10">
        <v>307.55</v>
      </c>
      <c r="F571" s="10">
        <v>1.06</v>
      </c>
      <c r="G571" s="22">
        <f t="shared" si="32"/>
        <v>174.67195999999979</v>
      </c>
      <c r="H571" s="23" t="s">
        <v>686</v>
      </c>
      <c r="I571" s="9"/>
      <c r="K571"/>
      <c r="L571" s="7">
        <f t="shared" si="31"/>
        <v>307.55</v>
      </c>
      <c r="M571" s="6"/>
      <c r="R571" s="7"/>
      <c r="S571" s="7"/>
    </row>
    <row r="572" spans="1:19" ht="28" x14ac:dyDescent="0.15">
      <c r="A572" s="24">
        <v>14</v>
      </c>
      <c r="B572" s="9" t="s">
        <v>595</v>
      </c>
      <c r="C572" s="9" t="s">
        <v>23</v>
      </c>
      <c r="D572" s="10">
        <v>320.54000000000002</v>
      </c>
      <c r="E572" s="10">
        <v>320.54000000000002</v>
      </c>
      <c r="F572" s="10">
        <v>1.71</v>
      </c>
      <c r="G572" s="22">
        <f t="shared" si="32"/>
        <v>174.99249999999978</v>
      </c>
      <c r="H572" s="23" t="s">
        <v>686</v>
      </c>
      <c r="I572" s="9"/>
      <c r="K572"/>
      <c r="L572" s="7">
        <f t="shared" si="31"/>
        <v>320.54000000000002</v>
      </c>
      <c r="M572" s="6"/>
      <c r="R572" s="7"/>
      <c r="S572" s="7"/>
    </row>
    <row r="573" spans="1:19" ht="28" x14ac:dyDescent="0.15">
      <c r="A573" s="24">
        <v>15</v>
      </c>
      <c r="B573" s="9" t="s">
        <v>596</v>
      </c>
      <c r="C573" s="9" t="s">
        <v>23</v>
      </c>
      <c r="D573" s="10">
        <v>277.98</v>
      </c>
      <c r="E573" s="10">
        <v>277.98</v>
      </c>
      <c r="F573" s="10">
        <v>0.43</v>
      </c>
      <c r="G573" s="22">
        <f t="shared" si="32"/>
        <v>175.27047999999979</v>
      </c>
      <c r="H573" s="23" t="s">
        <v>686</v>
      </c>
      <c r="I573" s="9"/>
      <c r="K573"/>
      <c r="L573" s="7">
        <f t="shared" si="31"/>
        <v>277.98</v>
      </c>
      <c r="M573" s="6"/>
      <c r="R573" s="7"/>
      <c r="S573" s="7"/>
    </row>
    <row r="574" spans="1:19" ht="28" x14ac:dyDescent="0.15">
      <c r="A574" s="24">
        <v>16</v>
      </c>
      <c r="B574" s="9" t="s">
        <v>597</v>
      </c>
      <c r="C574" s="9" t="s">
        <v>19</v>
      </c>
      <c r="D574" s="10">
        <v>348.76</v>
      </c>
      <c r="E574" s="10">
        <v>357.26</v>
      </c>
      <c r="F574" s="10">
        <v>9.51</v>
      </c>
      <c r="G574" s="22">
        <f t="shared" si="32"/>
        <v>175.62773999999979</v>
      </c>
      <c r="H574" s="23" t="s">
        <v>686</v>
      </c>
      <c r="I574" s="9"/>
      <c r="K574" s="7">
        <f>D574+8.5</f>
        <v>357.26</v>
      </c>
      <c r="L574" s="7">
        <f t="shared" si="31"/>
        <v>357.26</v>
      </c>
      <c r="M574" s="6"/>
      <c r="R574" s="7"/>
      <c r="S574" s="7"/>
    </row>
    <row r="575" spans="1:19" ht="28" x14ac:dyDescent="0.15">
      <c r="A575" s="24">
        <v>17</v>
      </c>
      <c r="B575" s="9" t="s">
        <v>598</v>
      </c>
      <c r="C575" s="9" t="s">
        <v>23</v>
      </c>
      <c r="D575" s="10">
        <v>299.44</v>
      </c>
      <c r="E575" s="10">
        <v>299.44</v>
      </c>
      <c r="F575" s="10">
        <v>4.2300000000000004</v>
      </c>
      <c r="G575" s="22">
        <f t="shared" si="32"/>
        <v>175.92717999999979</v>
      </c>
      <c r="H575" s="23" t="s">
        <v>686</v>
      </c>
      <c r="I575" s="9"/>
      <c r="K575"/>
      <c r="L575" s="7">
        <f t="shared" si="31"/>
        <v>299.44</v>
      </c>
      <c r="M575" s="6"/>
      <c r="R575" s="7"/>
      <c r="S575" s="7"/>
    </row>
    <row r="576" spans="1:19" ht="28" x14ac:dyDescent="0.15">
      <c r="A576" s="24">
        <v>18</v>
      </c>
      <c r="B576" s="9" t="s">
        <v>599</v>
      </c>
      <c r="C576" s="9" t="s">
        <v>19</v>
      </c>
      <c r="D576" s="10">
        <v>314.97000000000003</v>
      </c>
      <c r="E576" s="10">
        <v>323.47000000000003</v>
      </c>
      <c r="F576" s="10">
        <v>28.61</v>
      </c>
      <c r="G576" s="22">
        <f t="shared" si="32"/>
        <v>176.25064999999978</v>
      </c>
      <c r="H576" s="23" t="s">
        <v>686</v>
      </c>
      <c r="I576" s="9"/>
      <c r="K576" s="7">
        <f t="shared" ref="K576:K578" si="36">D576+8.5</f>
        <v>323.47000000000003</v>
      </c>
      <c r="L576" s="7">
        <f t="shared" si="31"/>
        <v>323.47000000000003</v>
      </c>
      <c r="M576" s="6"/>
      <c r="R576" s="7"/>
      <c r="S576" s="7"/>
    </row>
    <row r="577" spans="1:19" ht="28" x14ac:dyDescent="0.15">
      <c r="A577" s="24">
        <v>19</v>
      </c>
      <c r="B577" s="9" t="s">
        <v>600</v>
      </c>
      <c r="C577" s="9" t="s">
        <v>19</v>
      </c>
      <c r="D577" s="10">
        <v>157.84</v>
      </c>
      <c r="E577" s="10">
        <v>166.34</v>
      </c>
      <c r="F577" s="10">
        <v>58.59</v>
      </c>
      <c r="G577" s="22">
        <f t="shared" si="32"/>
        <v>176.41698999999977</v>
      </c>
      <c r="H577" s="23" t="s">
        <v>686</v>
      </c>
      <c r="I577" s="9"/>
      <c r="K577" s="7">
        <f t="shared" si="36"/>
        <v>166.34</v>
      </c>
      <c r="L577" s="7">
        <f t="shared" si="31"/>
        <v>166.34</v>
      </c>
      <c r="M577" s="6"/>
      <c r="R577" s="7"/>
      <c r="S577" s="7"/>
    </row>
    <row r="578" spans="1:19" ht="28" x14ac:dyDescent="0.15">
      <c r="A578" s="24">
        <v>20</v>
      </c>
      <c r="B578" s="9" t="s">
        <v>601</v>
      </c>
      <c r="C578" s="9" t="s">
        <v>28</v>
      </c>
      <c r="D578" s="10">
        <v>325.95999999999998</v>
      </c>
      <c r="E578" s="10">
        <v>334.46</v>
      </c>
      <c r="F578" s="10">
        <v>14.16</v>
      </c>
      <c r="G578" s="22">
        <f t="shared" si="32"/>
        <v>176.75144999999978</v>
      </c>
      <c r="H578" s="23" t="s">
        <v>686</v>
      </c>
      <c r="I578" s="9"/>
      <c r="K578" s="7">
        <f t="shared" si="36"/>
        <v>334.46</v>
      </c>
      <c r="L578" s="7">
        <f t="shared" si="31"/>
        <v>334.46</v>
      </c>
      <c r="M578" s="6"/>
      <c r="R578" s="7"/>
      <c r="S578" s="7"/>
    </row>
    <row r="579" spans="1:19" ht="28" x14ac:dyDescent="0.15">
      <c r="A579" s="24">
        <v>21</v>
      </c>
      <c r="B579" s="9" t="s">
        <v>602</v>
      </c>
      <c r="C579" s="9" t="s">
        <v>23</v>
      </c>
      <c r="D579" s="10">
        <v>342.82</v>
      </c>
      <c r="E579" s="10">
        <v>342.82</v>
      </c>
      <c r="F579" s="10">
        <v>1.45</v>
      </c>
      <c r="G579" s="22">
        <f t="shared" si="32"/>
        <v>177.09426999999977</v>
      </c>
      <c r="H579" s="23" t="s">
        <v>686</v>
      </c>
      <c r="I579" s="9"/>
      <c r="K579"/>
      <c r="L579" s="7">
        <f t="shared" ref="L579:L642" si="37">IF(K579&lt;&gt;"",K579,D579)</f>
        <v>342.82</v>
      </c>
      <c r="M579" s="6"/>
      <c r="R579" s="7"/>
      <c r="S579" s="7"/>
    </row>
    <row r="580" spans="1:19" ht="28" x14ac:dyDescent="0.15">
      <c r="A580" s="24">
        <v>22</v>
      </c>
      <c r="B580" s="9" t="s">
        <v>603</v>
      </c>
      <c r="C580" s="9" t="s">
        <v>23</v>
      </c>
      <c r="D580" s="10">
        <v>342.49</v>
      </c>
      <c r="E580" s="10">
        <v>342.49</v>
      </c>
      <c r="F580" s="10">
        <v>0.54</v>
      </c>
      <c r="G580" s="22">
        <f t="shared" ref="G580:G643" si="38">E580/1000+G579</f>
        <v>177.43675999999977</v>
      </c>
      <c r="H580" s="23" t="s">
        <v>686</v>
      </c>
      <c r="I580" s="9"/>
      <c r="K580"/>
      <c r="L580" s="7">
        <f t="shared" si="37"/>
        <v>342.49</v>
      </c>
      <c r="M580" s="6"/>
      <c r="R580" s="7"/>
      <c r="S580" s="7"/>
    </row>
    <row r="581" spans="1:19" ht="28" x14ac:dyDescent="0.15">
      <c r="A581" s="24">
        <v>23</v>
      </c>
      <c r="B581" s="9" t="s">
        <v>604</v>
      </c>
      <c r="C581" s="9" t="s">
        <v>23</v>
      </c>
      <c r="D581" s="10">
        <v>341.66</v>
      </c>
      <c r="E581" s="10">
        <v>341.66</v>
      </c>
      <c r="F581" s="10">
        <v>0.54</v>
      </c>
      <c r="G581" s="22">
        <f t="shared" si="38"/>
        <v>177.77841999999976</v>
      </c>
      <c r="H581" s="23" t="s">
        <v>686</v>
      </c>
      <c r="I581" s="9"/>
      <c r="K581"/>
      <c r="L581" s="7">
        <f t="shared" si="37"/>
        <v>341.66</v>
      </c>
      <c r="M581" s="6"/>
      <c r="R581" s="7"/>
      <c r="S581" s="7"/>
    </row>
    <row r="582" spans="1:19" ht="28" x14ac:dyDescent="0.15">
      <c r="A582" s="24">
        <v>24</v>
      </c>
      <c r="B582" s="9" t="s">
        <v>605</v>
      </c>
      <c r="C582" s="9" t="s">
        <v>28</v>
      </c>
      <c r="D582" s="10">
        <v>339.94</v>
      </c>
      <c r="E582" s="10">
        <v>348.44</v>
      </c>
      <c r="F582" s="10">
        <v>14.5</v>
      </c>
      <c r="G582" s="22">
        <f t="shared" si="38"/>
        <v>178.12685999999977</v>
      </c>
      <c r="H582" s="23" t="s">
        <v>686</v>
      </c>
      <c r="I582" s="9"/>
      <c r="K582" s="7">
        <f>D582+8.5</f>
        <v>348.44</v>
      </c>
      <c r="L582" s="7">
        <f t="shared" si="37"/>
        <v>348.44</v>
      </c>
      <c r="M582" s="6"/>
      <c r="R582" s="7"/>
      <c r="S582" s="7"/>
    </row>
    <row r="583" spans="1:19" ht="28" x14ac:dyDescent="0.15">
      <c r="A583" s="24">
        <v>25</v>
      </c>
      <c r="B583" s="9" t="s">
        <v>606</v>
      </c>
      <c r="C583" s="9" t="s">
        <v>23</v>
      </c>
      <c r="D583" s="10">
        <v>345.36</v>
      </c>
      <c r="E583" s="10">
        <v>345.36</v>
      </c>
      <c r="F583" s="10">
        <v>2.5299999999999998</v>
      </c>
      <c r="G583" s="22">
        <f t="shared" si="38"/>
        <v>178.47221999999977</v>
      </c>
      <c r="H583" s="23" t="s">
        <v>686</v>
      </c>
      <c r="I583" s="9"/>
      <c r="K583"/>
      <c r="L583" s="7">
        <f t="shared" si="37"/>
        <v>345.36</v>
      </c>
      <c r="M583" s="6"/>
      <c r="R583" s="7"/>
      <c r="S583" s="7"/>
    </row>
    <row r="584" spans="1:19" ht="28" x14ac:dyDescent="0.15">
      <c r="A584" s="24">
        <v>26</v>
      </c>
      <c r="B584" s="9" t="s">
        <v>607</v>
      </c>
      <c r="C584" s="9" t="s">
        <v>23</v>
      </c>
      <c r="D584" s="10">
        <v>293.92</v>
      </c>
      <c r="E584" s="10">
        <v>293.92</v>
      </c>
      <c r="F584" s="10">
        <v>0.59</v>
      </c>
      <c r="G584" s="22">
        <f t="shared" si="38"/>
        <v>178.76613999999978</v>
      </c>
      <c r="H584" s="23" t="s">
        <v>686</v>
      </c>
      <c r="I584" s="9"/>
      <c r="K584"/>
      <c r="L584" s="7">
        <f t="shared" si="37"/>
        <v>293.92</v>
      </c>
      <c r="M584" s="6"/>
      <c r="R584" s="7"/>
      <c r="S584" s="7"/>
    </row>
    <row r="585" spans="1:19" ht="28" x14ac:dyDescent="0.15">
      <c r="A585" s="24">
        <v>27</v>
      </c>
      <c r="B585" s="9" t="s">
        <v>608</v>
      </c>
      <c r="C585" s="9" t="s">
        <v>19</v>
      </c>
      <c r="D585" s="10">
        <v>339.31</v>
      </c>
      <c r="E585" s="10">
        <v>347.81</v>
      </c>
      <c r="F585" s="10">
        <v>25.17</v>
      </c>
      <c r="G585" s="22">
        <f t="shared" si="38"/>
        <v>179.11394999999979</v>
      </c>
      <c r="H585" s="23" t="s">
        <v>686</v>
      </c>
      <c r="I585" s="9"/>
      <c r="K585" s="7">
        <f t="shared" ref="K585:K587" si="39">D585+8.5</f>
        <v>347.81</v>
      </c>
      <c r="L585" s="7">
        <f t="shared" si="37"/>
        <v>347.81</v>
      </c>
      <c r="M585" s="6"/>
      <c r="R585" s="7"/>
      <c r="S585" s="7"/>
    </row>
    <row r="586" spans="1:19" ht="28" x14ac:dyDescent="0.15">
      <c r="A586" s="24">
        <v>28</v>
      </c>
      <c r="B586" s="9" t="s">
        <v>609</v>
      </c>
      <c r="C586" s="9" t="s">
        <v>19</v>
      </c>
      <c r="D586" s="10">
        <v>167.75</v>
      </c>
      <c r="E586" s="10">
        <v>176.25</v>
      </c>
      <c r="F586" s="10">
        <v>3.99</v>
      </c>
      <c r="G586" s="22">
        <f t="shared" si="38"/>
        <v>179.2901999999998</v>
      </c>
      <c r="H586" s="23" t="s">
        <v>686</v>
      </c>
      <c r="I586" s="9"/>
      <c r="K586" s="7">
        <f t="shared" si="39"/>
        <v>176.25</v>
      </c>
      <c r="L586" s="7">
        <f t="shared" si="37"/>
        <v>176.25</v>
      </c>
      <c r="M586" s="6"/>
      <c r="R586" s="7"/>
      <c r="S586" s="7"/>
    </row>
    <row r="587" spans="1:19" ht="28" x14ac:dyDescent="0.15">
      <c r="A587" s="24">
        <v>29</v>
      </c>
      <c r="B587" s="9" t="s">
        <v>689</v>
      </c>
      <c r="C587" s="9" t="s">
        <v>19</v>
      </c>
      <c r="D587" s="10">
        <v>223.29</v>
      </c>
      <c r="E587" s="10">
        <v>231.79</v>
      </c>
      <c r="F587" s="10">
        <v>11.84</v>
      </c>
      <c r="G587" s="22">
        <f t="shared" si="38"/>
        <v>179.52198999999979</v>
      </c>
      <c r="H587" s="23" t="s">
        <v>686</v>
      </c>
      <c r="I587" s="9"/>
      <c r="K587" s="7">
        <f t="shared" si="39"/>
        <v>231.79</v>
      </c>
      <c r="L587" s="7">
        <f t="shared" si="37"/>
        <v>231.79</v>
      </c>
      <c r="M587" s="6"/>
      <c r="R587" s="7"/>
      <c r="S587" s="7"/>
    </row>
    <row r="588" spans="1:19" ht="28" x14ac:dyDescent="0.15">
      <c r="A588" s="24">
        <v>30</v>
      </c>
      <c r="B588" s="9" t="s">
        <v>688</v>
      </c>
      <c r="C588" s="9" t="s">
        <v>23</v>
      </c>
      <c r="D588" s="10">
        <v>221.46</v>
      </c>
      <c r="E588" s="10">
        <v>221.46</v>
      </c>
      <c r="F588" s="10">
        <v>2.58</v>
      </c>
      <c r="G588" s="22">
        <f t="shared" si="38"/>
        <v>179.7434499999998</v>
      </c>
      <c r="H588" s="23" t="s">
        <v>686</v>
      </c>
      <c r="I588" s="9"/>
      <c r="K588"/>
      <c r="L588" s="7">
        <f t="shared" si="37"/>
        <v>221.46</v>
      </c>
      <c r="M588" s="6"/>
      <c r="R588" s="7"/>
      <c r="S588" s="7"/>
    </row>
    <row r="589" spans="1:19" ht="28" x14ac:dyDescent="0.15">
      <c r="A589" s="24">
        <v>31</v>
      </c>
      <c r="B589" s="9" t="s">
        <v>612</v>
      </c>
      <c r="C589" s="9" t="s">
        <v>28</v>
      </c>
      <c r="D589" s="10">
        <v>241.74</v>
      </c>
      <c r="E589" s="10">
        <v>250.24</v>
      </c>
      <c r="F589" s="10">
        <v>21.1</v>
      </c>
      <c r="G589" s="22">
        <f t="shared" si="38"/>
        <v>179.99368999999979</v>
      </c>
      <c r="H589" s="23" t="s">
        <v>686</v>
      </c>
      <c r="I589" s="9"/>
      <c r="K589" s="7">
        <f>D589+8.5</f>
        <v>250.24</v>
      </c>
      <c r="L589" s="7">
        <f t="shared" si="37"/>
        <v>250.24</v>
      </c>
      <c r="M589" s="6"/>
      <c r="R589" s="7"/>
      <c r="S589" s="7"/>
    </row>
    <row r="590" spans="1:19" ht="28" x14ac:dyDescent="0.15">
      <c r="A590" s="24">
        <v>32</v>
      </c>
      <c r="B590" s="9" t="s">
        <v>613</v>
      </c>
      <c r="C590" s="9" t="s">
        <v>23</v>
      </c>
      <c r="D590" s="10">
        <v>268.83</v>
      </c>
      <c r="E590" s="10">
        <v>268.83</v>
      </c>
      <c r="F590" s="9">
        <v>0.25029962793789901</v>
      </c>
      <c r="G590" s="22">
        <f t="shared" si="38"/>
        <v>180.2625199999998</v>
      </c>
      <c r="H590" s="23" t="s">
        <v>686</v>
      </c>
      <c r="I590" s="9"/>
      <c r="K590"/>
      <c r="L590" s="7">
        <f t="shared" si="37"/>
        <v>268.83</v>
      </c>
      <c r="M590" s="6"/>
      <c r="R590" s="7"/>
      <c r="S590" s="7"/>
    </row>
    <row r="591" spans="1:19" ht="28" x14ac:dyDescent="0.15">
      <c r="A591" s="24">
        <v>33</v>
      </c>
      <c r="B591" s="9" t="s">
        <v>614</v>
      </c>
      <c r="C591" s="9" t="s">
        <v>23</v>
      </c>
      <c r="D591" s="10">
        <v>292.24</v>
      </c>
      <c r="E591" s="10">
        <v>292.24</v>
      </c>
      <c r="F591" s="9">
        <v>0.166414651157133</v>
      </c>
      <c r="G591" s="22">
        <f t="shared" si="38"/>
        <v>180.55475999999979</v>
      </c>
      <c r="H591" s="23" t="s">
        <v>686</v>
      </c>
      <c r="I591" s="9"/>
      <c r="K591"/>
      <c r="L591" s="7">
        <f t="shared" si="37"/>
        <v>292.24</v>
      </c>
      <c r="M591" s="6"/>
      <c r="R591" s="7"/>
      <c r="S591" s="7"/>
    </row>
    <row r="592" spans="1:19" ht="28" x14ac:dyDescent="0.15">
      <c r="A592" s="24">
        <v>34</v>
      </c>
      <c r="B592" s="9" t="s">
        <v>615</v>
      </c>
      <c r="C592" s="9" t="s">
        <v>23</v>
      </c>
      <c r="D592" s="10">
        <v>332.46</v>
      </c>
      <c r="E592" s="10">
        <v>332.46</v>
      </c>
      <c r="F592" s="9">
        <v>1.6585817379868899</v>
      </c>
      <c r="G592" s="22">
        <f t="shared" si="38"/>
        <v>180.88721999999979</v>
      </c>
      <c r="H592" s="23" t="s">
        <v>686</v>
      </c>
      <c r="I592" s="9"/>
      <c r="K592"/>
      <c r="L592" s="7">
        <f t="shared" si="37"/>
        <v>332.46</v>
      </c>
      <c r="M592" s="6"/>
      <c r="R592" s="7"/>
      <c r="S592" s="7"/>
    </row>
    <row r="593" spans="1:19" ht="28" x14ac:dyDescent="0.15">
      <c r="A593" s="24">
        <v>35</v>
      </c>
      <c r="B593" s="9" t="s">
        <v>616</v>
      </c>
      <c r="C593" s="9" t="s">
        <v>23</v>
      </c>
      <c r="D593" s="10">
        <v>359.11</v>
      </c>
      <c r="E593" s="10">
        <v>359.11</v>
      </c>
      <c r="F593" s="9">
        <v>4.0179910661185101</v>
      </c>
      <c r="G593" s="22">
        <f t="shared" si="38"/>
        <v>181.24632999999977</v>
      </c>
      <c r="H593" s="23" t="s">
        <v>686</v>
      </c>
      <c r="I593" s="9"/>
      <c r="K593"/>
      <c r="L593" s="7">
        <f t="shared" si="37"/>
        <v>359.11</v>
      </c>
      <c r="M593" s="6"/>
      <c r="R593" s="7"/>
      <c r="S593" s="7"/>
    </row>
    <row r="594" spans="1:19" ht="28" x14ac:dyDescent="0.15">
      <c r="A594" s="24">
        <v>36</v>
      </c>
      <c r="B594" s="9" t="s">
        <v>617</v>
      </c>
      <c r="C594" s="9" t="s">
        <v>23</v>
      </c>
      <c r="D594" s="10">
        <v>308.45</v>
      </c>
      <c r="E594" s="10">
        <v>308.45</v>
      </c>
      <c r="F594" s="10">
        <v>2.09</v>
      </c>
      <c r="G594" s="22">
        <f t="shared" si="38"/>
        <v>181.55477999999977</v>
      </c>
      <c r="H594" s="23" t="s">
        <v>686</v>
      </c>
      <c r="I594" s="9"/>
      <c r="K594"/>
      <c r="L594" s="7">
        <f t="shared" si="37"/>
        <v>308.45</v>
      </c>
      <c r="M594" s="6"/>
      <c r="R594" s="7"/>
      <c r="S594" s="7"/>
    </row>
    <row r="595" spans="1:19" ht="28" x14ac:dyDescent="0.15">
      <c r="A595" s="24">
        <v>37</v>
      </c>
      <c r="B595" s="9" t="s">
        <v>618</v>
      </c>
      <c r="C595" s="9" t="s">
        <v>14</v>
      </c>
      <c r="D595" s="10">
        <v>354.97</v>
      </c>
      <c r="E595" s="10">
        <v>363.47</v>
      </c>
      <c r="F595" s="10">
        <v>7.0000000000000007E-2</v>
      </c>
      <c r="G595" s="22">
        <f t="shared" si="38"/>
        <v>181.91824999999977</v>
      </c>
      <c r="H595" s="23" t="s">
        <v>686</v>
      </c>
      <c r="I595" s="9"/>
      <c r="K595" s="7">
        <f>D595+8.5</f>
        <v>363.47</v>
      </c>
      <c r="L595" s="7">
        <f t="shared" si="37"/>
        <v>363.47</v>
      </c>
      <c r="M595" s="6"/>
      <c r="R595" s="7"/>
      <c r="S595" s="7"/>
    </row>
    <row r="596" spans="1:19" ht="28" x14ac:dyDescent="0.15">
      <c r="A596" s="24">
        <v>38</v>
      </c>
      <c r="B596" s="9" t="s">
        <v>619</v>
      </c>
      <c r="C596" s="9" t="s">
        <v>23</v>
      </c>
      <c r="D596" s="10">
        <v>274.89</v>
      </c>
      <c r="E596" s="10">
        <v>274.89</v>
      </c>
      <c r="F596" s="10">
        <v>0.47</v>
      </c>
      <c r="G596" s="22">
        <f t="shared" si="38"/>
        <v>182.19313999999977</v>
      </c>
      <c r="H596" s="23" t="s">
        <v>686</v>
      </c>
      <c r="I596" s="9"/>
      <c r="K596"/>
      <c r="L596" s="7">
        <f t="shared" si="37"/>
        <v>274.89</v>
      </c>
      <c r="M596" s="6"/>
      <c r="R596" s="7"/>
      <c r="S596" s="7"/>
    </row>
    <row r="597" spans="1:19" ht="28" x14ac:dyDescent="0.15">
      <c r="A597" s="24">
        <v>39</v>
      </c>
      <c r="B597" s="9" t="s">
        <v>620</v>
      </c>
      <c r="C597" s="9" t="s">
        <v>23</v>
      </c>
      <c r="D597" s="10">
        <v>335.56</v>
      </c>
      <c r="E597" s="10">
        <v>335.56</v>
      </c>
      <c r="F597" s="10">
        <v>0.01</v>
      </c>
      <c r="G597" s="22">
        <f t="shared" si="38"/>
        <v>182.52869999999976</v>
      </c>
      <c r="H597" s="23" t="s">
        <v>686</v>
      </c>
      <c r="I597" s="9"/>
      <c r="K597"/>
      <c r="L597" s="7">
        <f t="shared" si="37"/>
        <v>335.56</v>
      </c>
      <c r="M597" s="6"/>
      <c r="R597" s="7"/>
      <c r="S597" s="7"/>
    </row>
    <row r="598" spans="1:19" ht="28" x14ac:dyDescent="0.15">
      <c r="A598" s="24">
        <v>40</v>
      </c>
      <c r="B598" s="9" t="s">
        <v>621</v>
      </c>
      <c r="C598" s="9" t="s">
        <v>23</v>
      </c>
      <c r="D598" s="10">
        <v>298.12</v>
      </c>
      <c r="E598" s="10">
        <v>298.12</v>
      </c>
      <c r="F598" s="10">
        <v>0.39</v>
      </c>
      <c r="G598" s="22">
        <f t="shared" si="38"/>
        <v>182.82681999999977</v>
      </c>
      <c r="H598" s="23" t="s">
        <v>686</v>
      </c>
      <c r="I598" s="9"/>
      <c r="K598"/>
      <c r="L598" s="7">
        <f t="shared" si="37"/>
        <v>298.12</v>
      </c>
      <c r="M598" s="6"/>
      <c r="R598" s="7"/>
      <c r="S598" s="7"/>
    </row>
    <row r="599" spans="1:19" ht="28" x14ac:dyDescent="0.15">
      <c r="A599" s="24">
        <v>41</v>
      </c>
      <c r="B599" s="9" t="s">
        <v>622</v>
      </c>
      <c r="C599" s="9" t="s">
        <v>23</v>
      </c>
      <c r="D599" s="10">
        <v>297.95999999999998</v>
      </c>
      <c r="E599" s="10">
        <v>297.95999999999998</v>
      </c>
      <c r="F599" s="10">
        <v>1.45</v>
      </c>
      <c r="G599" s="22">
        <f t="shared" si="38"/>
        <v>183.12477999999976</v>
      </c>
      <c r="H599" s="23" t="s">
        <v>686</v>
      </c>
      <c r="I599" s="9"/>
      <c r="K599"/>
      <c r="L599" s="7">
        <f t="shared" si="37"/>
        <v>297.95999999999998</v>
      </c>
      <c r="M599" s="6"/>
      <c r="R599" s="7"/>
      <c r="S599" s="7"/>
    </row>
    <row r="600" spans="1:19" ht="28" x14ac:dyDescent="0.15">
      <c r="A600" s="24">
        <v>42</v>
      </c>
      <c r="B600" s="9" t="s">
        <v>623</v>
      </c>
      <c r="C600" s="9" t="s">
        <v>19</v>
      </c>
      <c r="D600" s="10">
        <v>306.70999999999998</v>
      </c>
      <c r="E600" s="10">
        <v>315.20999999999998</v>
      </c>
      <c r="F600" s="10">
        <v>1.73</v>
      </c>
      <c r="G600" s="22">
        <f t="shared" si="38"/>
        <v>183.43998999999977</v>
      </c>
      <c r="H600" s="23" t="s">
        <v>686</v>
      </c>
      <c r="I600" s="9"/>
      <c r="K600" s="7">
        <f>D600+8.5</f>
        <v>315.20999999999998</v>
      </c>
      <c r="L600" s="7">
        <f t="shared" si="37"/>
        <v>315.20999999999998</v>
      </c>
      <c r="M600" s="6"/>
      <c r="R600" s="7"/>
      <c r="S600" s="7"/>
    </row>
    <row r="601" spans="1:19" ht="28" x14ac:dyDescent="0.15">
      <c r="A601" s="24">
        <v>43</v>
      </c>
      <c r="B601" s="9" t="s">
        <v>624</v>
      </c>
      <c r="C601" s="9" t="s">
        <v>23</v>
      </c>
      <c r="D601" s="10">
        <v>210.29</v>
      </c>
      <c r="E601" s="10">
        <v>210.29</v>
      </c>
      <c r="F601" s="10">
        <v>0.32</v>
      </c>
      <c r="G601" s="22">
        <f t="shared" si="38"/>
        <v>183.65027999999975</v>
      </c>
      <c r="H601" s="23" t="s">
        <v>686</v>
      </c>
      <c r="I601" s="9"/>
      <c r="K601"/>
      <c r="L601" s="7">
        <f t="shared" si="37"/>
        <v>210.29</v>
      </c>
      <c r="M601" s="6"/>
      <c r="R601" s="7"/>
      <c r="S601" s="7"/>
    </row>
    <row r="602" spans="1:19" ht="28" x14ac:dyDescent="0.15">
      <c r="A602" s="24">
        <v>44</v>
      </c>
      <c r="B602" s="9" t="s">
        <v>625</v>
      </c>
      <c r="C602" s="9" t="s">
        <v>23</v>
      </c>
      <c r="D602" s="10">
        <v>353.8</v>
      </c>
      <c r="E602" s="10">
        <v>353.8</v>
      </c>
      <c r="F602" s="10">
        <v>0.6</v>
      </c>
      <c r="G602" s="22">
        <f t="shared" si="38"/>
        <v>184.00407999999976</v>
      </c>
      <c r="H602" s="23" t="s">
        <v>686</v>
      </c>
      <c r="I602" s="9"/>
      <c r="K602"/>
      <c r="L602" s="7">
        <f t="shared" si="37"/>
        <v>353.8</v>
      </c>
      <c r="M602" s="6"/>
      <c r="R602" s="7"/>
      <c r="S602" s="7"/>
    </row>
    <row r="603" spans="1:19" ht="28" x14ac:dyDescent="0.15">
      <c r="A603" s="24">
        <v>45</v>
      </c>
      <c r="B603" s="9" t="s">
        <v>626</v>
      </c>
      <c r="C603" s="9" t="s">
        <v>14</v>
      </c>
      <c r="D603" s="10">
        <v>278.88</v>
      </c>
      <c r="E603" s="10">
        <v>287.38</v>
      </c>
      <c r="F603" s="10">
        <v>6.91</v>
      </c>
      <c r="G603" s="22">
        <f t="shared" si="38"/>
        <v>184.29145999999977</v>
      </c>
      <c r="H603" s="23" t="s">
        <v>686</v>
      </c>
      <c r="I603" s="9"/>
      <c r="K603" s="7">
        <f>D603+8.5</f>
        <v>287.38</v>
      </c>
      <c r="L603" s="7">
        <f t="shared" si="37"/>
        <v>287.38</v>
      </c>
      <c r="M603" s="6"/>
      <c r="R603" s="7"/>
      <c r="S603" s="7"/>
    </row>
    <row r="604" spans="1:19" ht="28" x14ac:dyDescent="0.15">
      <c r="A604" s="24">
        <v>46</v>
      </c>
      <c r="B604" s="9" t="s">
        <v>627</v>
      </c>
      <c r="C604" s="9" t="s">
        <v>23</v>
      </c>
      <c r="D604" s="10">
        <v>314.13</v>
      </c>
      <c r="E604" s="10">
        <v>314.13</v>
      </c>
      <c r="F604" s="10">
        <v>0.82</v>
      </c>
      <c r="G604" s="22">
        <f t="shared" si="38"/>
        <v>184.60558999999978</v>
      </c>
      <c r="H604" s="23" t="s">
        <v>686</v>
      </c>
      <c r="I604" s="9"/>
      <c r="K604"/>
      <c r="L604" s="7">
        <f t="shared" si="37"/>
        <v>314.13</v>
      </c>
      <c r="M604" s="6"/>
      <c r="R604" s="7"/>
      <c r="S604" s="7"/>
    </row>
    <row r="605" spans="1:19" ht="28" x14ac:dyDescent="0.15">
      <c r="A605" s="24">
        <v>47</v>
      </c>
      <c r="B605" s="9" t="s">
        <v>628</v>
      </c>
      <c r="C605" s="9" t="s">
        <v>23</v>
      </c>
      <c r="D605" s="10">
        <v>248.24</v>
      </c>
      <c r="E605" s="10">
        <v>248.24</v>
      </c>
      <c r="F605" s="10">
        <v>0.12</v>
      </c>
      <c r="G605" s="22">
        <f t="shared" si="38"/>
        <v>184.85382999999979</v>
      </c>
      <c r="H605" s="23" t="s">
        <v>686</v>
      </c>
      <c r="I605" s="9"/>
      <c r="K605"/>
      <c r="L605" s="7">
        <f t="shared" si="37"/>
        <v>248.24</v>
      </c>
      <c r="M605" s="6"/>
      <c r="R605" s="7"/>
      <c r="S605" s="7"/>
    </row>
    <row r="606" spans="1:19" ht="28" x14ac:dyDescent="0.15">
      <c r="A606" s="24">
        <v>48</v>
      </c>
      <c r="B606" s="9" t="s">
        <v>629</v>
      </c>
      <c r="C606" s="9" t="s">
        <v>23</v>
      </c>
      <c r="D606" s="10">
        <v>266.11</v>
      </c>
      <c r="E606" s="10">
        <v>266.11</v>
      </c>
      <c r="F606" s="10">
        <v>1.05</v>
      </c>
      <c r="G606" s="22">
        <f t="shared" si="38"/>
        <v>185.11993999999979</v>
      </c>
      <c r="H606" s="23" t="s">
        <v>686</v>
      </c>
      <c r="I606" s="9"/>
      <c r="K606"/>
      <c r="L606" s="7">
        <f t="shared" si="37"/>
        <v>266.11</v>
      </c>
      <c r="M606" s="6"/>
      <c r="R606" s="7"/>
      <c r="S606" s="7"/>
    </row>
    <row r="607" spans="1:19" ht="28" x14ac:dyDescent="0.15">
      <c r="A607" s="24">
        <v>49</v>
      </c>
      <c r="B607" s="9" t="s">
        <v>630</v>
      </c>
      <c r="C607" s="9" t="s">
        <v>23</v>
      </c>
      <c r="D607" s="10">
        <v>313.68</v>
      </c>
      <c r="E607" s="10">
        <v>313.68</v>
      </c>
      <c r="F607" s="10">
        <v>1.52</v>
      </c>
      <c r="G607" s="22">
        <f t="shared" si="38"/>
        <v>185.43361999999979</v>
      </c>
      <c r="H607" s="23" t="s">
        <v>686</v>
      </c>
      <c r="I607" s="9"/>
      <c r="K607"/>
      <c r="L607" s="7">
        <f t="shared" si="37"/>
        <v>313.68</v>
      </c>
      <c r="M607" s="6"/>
      <c r="R607" s="7"/>
      <c r="S607" s="7"/>
    </row>
    <row r="608" spans="1:19" ht="28" x14ac:dyDescent="0.15">
      <c r="A608" s="24">
        <v>50</v>
      </c>
      <c r="B608" s="9" t="s">
        <v>631</v>
      </c>
      <c r="C608" s="9" t="s">
        <v>19</v>
      </c>
      <c r="D608" s="10">
        <v>354.42</v>
      </c>
      <c r="E608" s="10">
        <v>362.92</v>
      </c>
      <c r="F608" s="10">
        <v>4.3600000000000003</v>
      </c>
      <c r="G608" s="22">
        <f t="shared" si="38"/>
        <v>185.79653999999979</v>
      </c>
      <c r="H608" s="23" t="s">
        <v>686</v>
      </c>
      <c r="I608" s="9"/>
      <c r="K608" s="7">
        <f>D608+8.5</f>
        <v>362.92</v>
      </c>
      <c r="L608" s="7">
        <f t="shared" si="37"/>
        <v>362.92</v>
      </c>
      <c r="M608" s="6"/>
      <c r="R608" s="7"/>
      <c r="S608" s="7"/>
    </row>
    <row r="609" spans="1:19" ht="28" x14ac:dyDescent="0.15">
      <c r="A609" s="24">
        <v>51</v>
      </c>
      <c r="B609" s="9" t="s">
        <v>632</v>
      </c>
      <c r="C609" s="9" t="s">
        <v>23</v>
      </c>
      <c r="D609" s="10">
        <v>319.42</v>
      </c>
      <c r="E609" s="10">
        <v>319.42</v>
      </c>
      <c r="F609" s="10">
        <v>0.16</v>
      </c>
      <c r="G609" s="22">
        <f t="shared" si="38"/>
        <v>186.1159599999998</v>
      </c>
      <c r="H609" s="23" t="s">
        <v>686</v>
      </c>
      <c r="I609" s="9"/>
      <c r="K609"/>
      <c r="L609" s="7">
        <f t="shared" si="37"/>
        <v>319.42</v>
      </c>
      <c r="M609" s="6"/>
      <c r="R609" s="7"/>
      <c r="S609" s="7"/>
    </row>
    <row r="610" spans="1:19" ht="28" x14ac:dyDescent="0.15">
      <c r="A610" s="24">
        <v>52</v>
      </c>
      <c r="B610" s="9" t="s">
        <v>633</v>
      </c>
      <c r="C610" s="9" t="s">
        <v>19</v>
      </c>
      <c r="D610" s="10">
        <v>335.65</v>
      </c>
      <c r="E610" s="10">
        <v>344.15</v>
      </c>
      <c r="F610" s="10">
        <v>1.21</v>
      </c>
      <c r="G610" s="22">
        <f t="shared" si="38"/>
        <v>186.46010999999982</v>
      </c>
      <c r="H610" s="23" t="s">
        <v>686</v>
      </c>
      <c r="I610" s="9"/>
      <c r="K610" s="7">
        <f>D610+8.5</f>
        <v>344.15</v>
      </c>
      <c r="L610" s="7">
        <f t="shared" si="37"/>
        <v>344.15</v>
      </c>
      <c r="M610" s="6"/>
      <c r="R610" s="7"/>
      <c r="S610" s="7"/>
    </row>
    <row r="611" spans="1:19" ht="28" x14ac:dyDescent="0.15">
      <c r="A611" s="24">
        <v>53</v>
      </c>
      <c r="B611" s="9" t="s">
        <v>634</v>
      </c>
      <c r="C611" s="9" t="s">
        <v>23</v>
      </c>
      <c r="D611" s="10">
        <v>342.11</v>
      </c>
      <c r="E611" s="10">
        <v>342.11</v>
      </c>
      <c r="F611" s="10">
        <v>0.67</v>
      </c>
      <c r="G611" s="22">
        <f t="shared" si="38"/>
        <v>186.80221999999981</v>
      </c>
      <c r="H611" s="23" t="s">
        <v>686</v>
      </c>
      <c r="I611" s="9"/>
      <c r="K611"/>
      <c r="L611" s="7">
        <f t="shared" si="37"/>
        <v>342.11</v>
      </c>
      <c r="M611" s="6"/>
      <c r="R611" s="7"/>
      <c r="S611" s="7"/>
    </row>
    <row r="612" spans="1:19" ht="28" x14ac:dyDescent="0.15">
      <c r="A612" s="24">
        <v>54</v>
      </c>
      <c r="B612" s="9" t="s">
        <v>635</v>
      </c>
      <c r="C612" s="9" t="s">
        <v>23</v>
      </c>
      <c r="D612" s="10">
        <v>296.07</v>
      </c>
      <c r="E612" s="10">
        <v>296.07</v>
      </c>
      <c r="F612" s="10">
        <v>1</v>
      </c>
      <c r="G612" s="22">
        <f t="shared" si="38"/>
        <v>187.09828999999979</v>
      </c>
      <c r="H612" s="23" t="s">
        <v>686</v>
      </c>
      <c r="I612" s="9"/>
      <c r="K612"/>
      <c r="L612" s="7">
        <f t="shared" si="37"/>
        <v>296.07</v>
      </c>
      <c r="M612" s="6"/>
      <c r="R612" s="7"/>
      <c r="S612" s="7"/>
    </row>
    <row r="613" spans="1:19" ht="28" x14ac:dyDescent="0.15">
      <c r="A613" s="24">
        <v>55</v>
      </c>
      <c r="B613" s="9" t="s">
        <v>636</v>
      </c>
      <c r="C613" s="9" t="s">
        <v>23</v>
      </c>
      <c r="D613" s="10">
        <v>266.26</v>
      </c>
      <c r="E613" s="10">
        <v>266.26</v>
      </c>
      <c r="F613" s="10">
        <v>0.98</v>
      </c>
      <c r="G613" s="22">
        <f t="shared" si="38"/>
        <v>187.36454999999978</v>
      </c>
      <c r="H613" s="23" t="s">
        <v>686</v>
      </c>
      <c r="I613" s="9"/>
      <c r="K613"/>
      <c r="L613" s="7">
        <f t="shared" si="37"/>
        <v>266.26</v>
      </c>
      <c r="M613" s="6"/>
      <c r="R613" s="7"/>
      <c r="S613" s="7"/>
    </row>
    <row r="614" spans="1:19" ht="28" x14ac:dyDescent="0.15">
      <c r="A614" s="24">
        <v>56</v>
      </c>
      <c r="B614" s="9" t="s">
        <v>637</v>
      </c>
      <c r="C614" s="9" t="s">
        <v>23</v>
      </c>
      <c r="D614" s="10">
        <v>297.45</v>
      </c>
      <c r="E614" s="10">
        <v>297.45</v>
      </c>
      <c r="F614" s="10">
        <v>0.67</v>
      </c>
      <c r="G614" s="22">
        <f t="shared" si="38"/>
        <v>187.66199999999978</v>
      </c>
      <c r="H614" s="23" t="s">
        <v>686</v>
      </c>
      <c r="I614" s="9"/>
      <c r="K614"/>
      <c r="L614" s="7">
        <f t="shared" si="37"/>
        <v>297.45</v>
      </c>
      <c r="M614" s="6"/>
      <c r="R614" s="7"/>
      <c r="S614" s="7"/>
    </row>
    <row r="615" spans="1:19" ht="28" x14ac:dyDescent="0.15">
      <c r="A615" s="24">
        <v>57</v>
      </c>
      <c r="B615" s="9" t="s">
        <v>638</v>
      </c>
      <c r="C615" s="9" t="s">
        <v>23</v>
      </c>
      <c r="D615" s="10">
        <v>309.22000000000003</v>
      </c>
      <c r="E615" s="10">
        <v>309.22000000000003</v>
      </c>
      <c r="F615" s="10">
        <v>0.36</v>
      </c>
      <c r="G615" s="22">
        <f t="shared" si="38"/>
        <v>187.97121999999979</v>
      </c>
      <c r="H615" s="23" t="s">
        <v>686</v>
      </c>
      <c r="I615" s="9"/>
      <c r="K615"/>
      <c r="L615" s="7">
        <f t="shared" si="37"/>
        <v>309.22000000000003</v>
      </c>
      <c r="M615" s="6"/>
      <c r="R615" s="7"/>
      <c r="S615" s="7"/>
    </row>
    <row r="616" spans="1:19" ht="28" x14ac:dyDescent="0.15">
      <c r="A616" s="24">
        <v>58</v>
      </c>
      <c r="B616" s="9" t="s">
        <v>639</v>
      </c>
      <c r="C616" s="9" t="s">
        <v>23</v>
      </c>
      <c r="D616" s="10">
        <v>334.33</v>
      </c>
      <c r="E616" s="10">
        <v>334.33</v>
      </c>
      <c r="F616" s="10">
        <v>0.85</v>
      </c>
      <c r="G616" s="22">
        <f t="shared" si="38"/>
        <v>188.30554999999978</v>
      </c>
      <c r="H616" s="23" t="s">
        <v>686</v>
      </c>
      <c r="I616" s="9"/>
      <c r="K616"/>
      <c r="L616" s="7">
        <f t="shared" si="37"/>
        <v>334.33</v>
      </c>
      <c r="M616" s="6"/>
      <c r="R616" s="7"/>
      <c r="S616" s="7"/>
    </row>
    <row r="617" spans="1:19" ht="28" x14ac:dyDescent="0.15">
      <c r="A617" s="24">
        <v>59</v>
      </c>
      <c r="B617" s="9" t="s">
        <v>640</v>
      </c>
      <c r="C617" s="9" t="s">
        <v>23</v>
      </c>
      <c r="D617" s="10">
        <v>339.39</v>
      </c>
      <c r="E617" s="10">
        <v>339.39</v>
      </c>
      <c r="F617" s="10">
        <v>0.17</v>
      </c>
      <c r="G617" s="22">
        <f t="shared" si="38"/>
        <v>188.64493999999979</v>
      </c>
      <c r="H617" s="23" t="s">
        <v>686</v>
      </c>
      <c r="I617" s="9"/>
      <c r="K617"/>
      <c r="L617" s="7">
        <f t="shared" si="37"/>
        <v>339.39</v>
      </c>
      <c r="M617" s="6"/>
      <c r="R617" s="7"/>
      <c r="S617" s="7"/>
    </row>
    <row r="618" spans="1:19" ht="28" x14ac:dyDescent="0.15">
      <c r="A618" s="24">
        <v>60</v>
      </c>
      <c r="B618" s="9" t="s">
        <v>641</v>
      </c>
      <c r="C618" s="9" t="s">
        <v>19</v>
      </c>
      <c r="D618" s="10">
        <v>245.05</v>
      </c>
      <c r="E618" s="10">
        <v>253.55</v>
      </c>
      <c r="F618" s="10">
        <v>58.27</v>
      </c>
      <c r="G618" s="22">
        <f t="shared" si="38"/>
        <v>188.89848999999978</v>
      </c>
      <c r="H618" s="23" t="s">
        <v>686</v>
      </c>
      <c r="I618" s="9"/>
      <c r="K618" s="7">
        <f>D618+8.5</f>
        <v>253.55</v>
      </c>
      <c r="L618" s="7">
        <f t="shared" si="37"/>
        <v>253.55</v>
      </c>
      <c r="M618" s="6"/>
      <c r="R618" s="7"/>
      <c r="S618" s="7"/>
    </row>
    <row r="619" spans="1:19" ht="28" x14ac:dyDescent="0.15">
      <c r="A619" s="24">
        <v>61</v>
      </c>
      <c r="B619" s="9" t="s">
        <v>642</v>
      </c>
      <c r="C619" s="9" t="s">
        <v>23</v>
      </c>
      <c r="D619" s="10">
        <v>285.70999999999998</v>
      </c>
      <c r="E619" s="10">
        <v>285.70999999999998</v>
      </c>
      <c r="F619" s="10">
        <v>0.28000000000000003</v>
      </c>
      <c r="G619" s="22">
        <f t="shared" si="38"/>
        <v>189.18419999999978</v>
      </c>
      <c r="H619" s="23" t="s">
        <v>686</v>
      </c>
      <c r="I619" s="9"/>
      <c r="K619"/>
      <c r="L619" s="7">
        <f t="shared" si="37"/>
        <v>285.70999999999998</v>
      </c>
      <c r="M619" s="6"/>
      <c r="R619" s="7"/>
      <c r="S619" s="7"/>
    </row>
    <row r="620" spans="1:19" ht="28" x14ac:dyDescent="0.15">
      <c r="A620" s="24">
        <v>62</v>
      </c>
      <c r="B620" s="9" t="s">
        <v>643</v>
      </c>
      <c r="C620" s="9" t="s">
        <v>28</v>
      </c>
      <c r="D620" s="10">
        <v>291.67</v>
      </c>
      <c r="E620" s="10">
        <v>300.17</v>
      </c>
      <c r="F620" s="10">
        <v>15.64</v>
      </c>
      <c r="G620" s="22">
        <f t="shared" si="38"/>
        <v>189.48436999999979</v>
      </c>
      <c r="H620" s="23" t="s">
        <v>686</v>
      </c>
      <c r="I620" s="9"/>
      <c r="K620" s="7">
        <f>D620+8.5</f>
        <v>300.17</v>
      </c>
      <c r="L620" s="7">
        <f t="shared" si="37"/>
        <v>300.17</v>
      </c>
      <c r="M620" s="6"/>
      <c r="R620" s="7"/>
      <c r="S620" s="7"/>
    </row>
    <row r="621" spans="1:19" ht="28" x14ac:dyDescent="0.15">
      <c r="A621" s="24">
        <v>63</v>
      </c>
      <c r="B621" s="9" t="s">
        <v>644</v>
      </c>
      <c r="C621" s="9" t="s">
        <v>23</v>
      </c>
      <c r="D621" s="10">
        <v>309.33</v>
      </c>
      <c r="E621" s="10">
        <v>309.33</v>
      </c>
      <c r="F621" s="10">
        <v>0.09</v>
      </c>
      <c r="G621" s="22">
        <f t="shared" si="38"/>
        <v>189.79369999999977</v>
      </c>
      <c r="H621" s="23" t="s">
        <v>686</v>
      </c>
      <c r="I621" s="9"/>
      <c r="K621"/>
      <c r="L621" s="7">
        <f t="shared" si="37"/>
        <v>309.33</v>
      </c>
      <c r="M621" s="6"/>
      <c r="R621" s="7"/>
      <c r="S621" s="7"/>
    </row>
    <row r="622" spans="1:19" ht="28" x14ac:dyDescent="0.15">
      <c r="A622" s="24">
        <v>64</v>
      </c>
      <c r="B622" s="9" t="s">
        <v>645</v>
      </c>
      <c r="C622" s="9" t="s">
        <v>23</v>
      </c>
      <c r="D622" s="10">
        <v>315.41000000000003</v>
      </c>
      <c r="E622" s="10">
        <v>315.41000000000003</v>
      </c>
      <c r="F622" s="10">
        <v>0.35</v>
      </c>
      <c r="G622" s="22">
        <f t="shared" si="38"/>
        <v>190.10910999999979</v>
      </c>
      <c r="H622" s="23" t="s">
        <v>686</v>
      </c>
      <c r="I622" s="9"/>
      <c r="K622"/>
      <c r="L622" s="7">
        <f t="shared" si="37"/>
        <v>315.41000000000003</v>
      </c>
      <c r="M622" s="6"/>
      <c r="R622" s="7"/>
      <c r="S622" s="7"/>
    </row>
    <row r="623" spans="1:19" ht="28" x14ac:dyDescent="0.15">
      <c r="A623" s="24">
        <v>65</v>
      </c>
      <c r="B623" s="9" t="s">
        <v>646</v>
      </c>
      <c r="C623" s="9" t="s">
        <v>19</v>
      </c>
      <c r="D623" s="10">
        <v>317.31</v>
      </c>
      <c r="E623" s="10">
        <v>325.81</v>
      </c>
      <c r="F623" s="10">
        <v>11.88</v>
      </c>
      <c r="G623" s="22">
        <f t="shared" si="38"/>
        <v>190.43491999999978</v>
      </c>
      <c r="H623" s="23" t="s">
        <v>686</v>
      </c>
      <c r="I623" s="9"/>
      <c r="K623" s="7">
        <f>D623+8.5</f>
        <v>325.81</v>
      </c>
      <c r="L623" s="7">
        <f t="shared" si="37"/>
        <v>325.81</v>
      </c>
      <c r="M623" s="6"/>
      <c r="R623" s="7"/>
      <c r="S623" s="7"/>
    </row>
    <row r="624" spans="1:19" ht="28" x14ac:dyDescent="0.15">
      <c r="A624" s="24">
        <v>66</v>
      </c>
      <c r="B624" s="9" t="s">
        <v>647</v>
      </c>
      <c r="C624" s="9" t="s">
        <v>23</v>
      </c>
      <c r="D624" s="10">
        <v>305.98</v>
      </c>
      <c r="E624" s="10">
        <v>305.98</v>
      </c>
      <c r="F624" s="10">
        <v>0.51</v>
      </c>
      <c r="G624" s="22">
        <f t="shared" si="38"/>
        <v>190.74089999999978</v>
      </c>
      <c r="H624" s="23" t="s">
        <v>686</v>
      </c>
      <c r="I624" s="9"/>
      <c r="K624"/>
      <c r="L624" s="7">
        <f t="shared" si="37"/>
        <v>305.98</v>
      </c>
      <c r="M624" s="6"/>
      <c r="R624" s="7"/>
      <c r="S624" s="7"/>
    </row>
    <row r="625" spans="1:19" ht="28" x14ac:dyDescent="0.15">
      <c r="A625" s="24">
        <v>67</v>
      </c>
      <c r="B625" s="9" t="s">
        <v>648</v>
      </c>
      <c r="C625" s="9" t="s">
        <v>23</v>
      </c>
      <c r="D625" s="10">
        <v>290.08999999999997</v>
      </c>
      <c r="E625" s="10">
        <v>290.08999999999997</v>
      </c>
      <c r="F625" s="10">
        <v>1.03</v>
      </c>
      <c r="G625" s="22">
        <f t="shared" si="38"/>
        <v>191.03098999999978</v>
      </c>
      <c r="H625" s="23" t="s">
        <v>686</v>
      </c>
      <c r="I625" s="9"/>
      <c r="K625"/>
      <c r="L625" s="7">
        <f t="shared" si="37"/>
        <v>290.08999999999997</v>
      </c>
      <c r="M625" s="6"/>
      <c r="R625" s="7"/>
      <c r="S625" s="7"/>
    </row>
    <row r="626" spans="1:19" ht="28" x14ac:dyDescent="0.15">
      <c r="A626" s="24">
        <v>68</v>
      </c>
      <c r="B626" s="9" t="s">
        <v>649</v>
      </c>
      <c r="C626" s="9" t="s">
        <v>23</v>
      </c>
      <c r="D626" s="10">
        <v>335.88</v>
      </c>
      <c r="E626" s="10">
        <v>335.88</v>
      </c>
      <c r="F626" s="10">
        <v>0.32</v>
      </c>
      <c r="G626" s="22">
        <f t="shared" si="38"/>
        <v>191.36686999999978</v>
      </c>
      <c r="H626" s="23" t="s">
        <v>686</v>
      </c>
      <c r="I626" s="9"/>
      <c r="K626"/>
      <c r="L626" s="7">
        <f t="shared" si="37"/>
        <v>335.88</v>
      </c>
      <c r="M626" s="6"/>
      <c r="R626" s="7"/>
      <c r="S626" s="7"/>
    </row>
    <row r="627" spans="1:19" ht="28" x14ac:dyDescent="0.15">
      <c r="A627" s="24">
        <v>69</v>
      </c>
      <c r="B627" s="9" t="s">
        <v>650</v>
      </c>
      <c r="C627" s="9" t="s">
        <v>19</v>
      </c>
      <c r="D627" s="10">
        <v>292</v>
      </c>
      <c r="E627" s="10">
        <v>300.5</v>
      </c>
      <c r="F627" s="10">
        <v>39.299999999999997</v>
      </c>
      <c r="G627" s="22">
        <f t="shared" si="38"/>
        <v>191.66736999999978</v>
      </c>
      <c r="H627" s="23" t="s">
        <v>686</v>
      </c>
      <c r="I627" s="9"/>
      <c r="K627" s="7">
        <f>D627+8.5</f>
        <v>300.5</v>
      </c>
      <c r="L627" s="7">
        <f t="shared" si="37"/>
        <v>300.5</v>
      </c>
      <c r="M627" s="6"/>
      <c r="R627" s="7"/>
      <c r="S627" s="7"/>
    </row>
    <row r="628" spans="1:19" ht="28" x14ac:dyDescent="0.15">
      <c r="A628" s="24">
        <v>70</v>
      </c>
      <c r="B628" s="9" t="s">
        <v>651</v>
      </c>
      <c r="C628" s="9" t="s">
        <v>23</v>
      </c>
      <c r="D628" s="10">
        <v>344.79</v>
      </c>
      <c r="E628" s="10">
        <v>344.79</v>
      </c>
      <c r="F628" s="10">
        <v>0.45</v>
      </c>
      <c r="G628" s="22">
        <f t="shared" si="38"/>
        <v>192.01215999999977</v>
      </c>
      <c r="H628" s="23" t="s">
        <v>686</v>
      </c>
      <c r="I628" s="9"/>
      <c r="K628"/>
      <c r="L628" s="7">
        <f t="shared" si="37"/>
        <v>344.79</v>
      </c>
      <c r="M628" s="6"/>
      <c r="R628" s="7"/>
      <c r="S628" s="7"/>
    </row>
    <row r="629" spans="1:19" ht="28" x14ac:dyDescent="0.15">
      <c r="A629" s="24">
        <v>71</v>
      </c>
      <c r="B629" s="9" t="s">
        <v>652</v>
      </c>
      <c r="C629" s="9" t="s">
        <v>23</v>
      </c>
      <c r="D629" s="10">
        <v>311.60000000000002</v>
      </c>
      <c r="E629" s="10">
        <v>311.60000000000002</v>
      </c>
      <c r="F629" s="10">
        <v>0.36</v>
      </c>
      <c r="G629" s="22">
        <f t="shared" si="38"/>
        <v>192.32375999999977</v>
      </c>
      <c r="H629" s="23" t="s">
        <v>686</v>
      </c>
      <c r="I629" s="9"/>
      <c r="K629"/>
      <c r="L629" s="7">
        <f t="shared" si="37"/>
        <v>311.60000000000002</v>
      </c>
      <c r="M629" s="6"/>
      <c r="R629" s="7"/>
      <c r="S629" s="7"/>
    </row>
    <row r="630" spans="1:19" ht="28" x14ac:dyDescent="0.15">
      <c r="A630" s="24">
        <v>72</v>
      </c>
      <c r="B630" s="9" t="s">
        <v>653</v>
      </c>
      <c r="C630" s="9" t="s">
        <v>23</v>
      </c>
      <c r="D630" s="10">
        <v>341.63</v>
      </c>
      <c r="E630" s="10">
        <v>341.63</v>
      </c>
      <c r="F630" s="10">
        <v>0.01</v>
      </c>
      <c r="G630" s="22">
        <f t="shared" si="38"/>
        <v>192.66538999999977</v>
      </c>
      <c r="H630" s="23" t="s">
        <v>686</v>
      </c>
      <c r="I630" s="9"/>
      <c r="K630"/>
      <c r="L630" s="7">
        <f t="shared" si="37"/>
        <v>341.63</v>
      </c>
      <c r="M630" s="6"/>
      <c r="R630" s="7"/>
      <c r="S630" s="7"/>
    </row>
    <row r="631" spans="1:19" ht="28" x14ac:dyDescent="0.15">
      <c r="A631" s="24">
        <v>73</v>
      </c>
      <c r="B631" s="9" t="s">
        <v>654</v>
      </c>
      <c r="C631" s="9" t="s">
        <v>23</v>
      </c>
      <c r="D631" s="10">
        <v>329.2</v>
      </c>
      <c r="E631" s="10">
        <v>329.2</v>
      </c>
      <c r="F631" s="10">
        <v>1.1000000000000001</v>
      </c>
      <c r="G631" s="22">
        <f t="shared" si="38"/>
        <v>192.99458999999976</v>
      </c>
      <c r="H631" s="23" t="s">
        <v>686</v>
      </c>
      <c r="I631" s="9"/>
      <c r="K631"/>
      <c r="L631" s="7">
        <f t="shared" si="37"/>
        <v>329.2</v>
      </c>
      <c r="M631" s="6"/>
      <c r="R631" s="7"/>
      <c r="S631" s="7"/>
    </row>
    <row r="632" spans="1:19" ht="28" x14ac:dyDescent="0.15">
      <c r="A632" s="24">
        <v>74</v>
      </c>
      <c r="B632" s="9" t="s">
        <v>655</v>
      </c>
      <c r="C632" s="9" t="s">
        <v>23</v>
      </c>
      <c r="D632" s="10">
        <v>335.65</v>
      </c>
      <c r="E632" s="10">
        <v>335.65</v>
      </c>
      <c r="F632" s="10">
        <v>0.36</v>
      </c>
      <c r="G632" s="22">
        <f t="shared" si="38"/>
        <v>193.33023999999975</v>
      </c>
      <c r="H632" s="23" t="s">
        <v>686</v>
      </c>
      <c r="I632" s="9"/>
      <c r="K632"/>
      <c r="L632" s="7">
        <f t="shared" si="37"/>
        <v>335.65</v>
      </c>
      <c r="M632" s="6"/>
      <c r="R632" s="7"/>
      <c r="S632" s="7"/>
    </row>
    <row r="633" spans="1:19" ht="28" x14ac:dyDescent="0.15">
      <c r="A633" s="24">
        <v>75</v>
      </c>
      <c r="B633" s="9" t="s">
        <v>656</v>
      </c>
      <c r="C633" s="9" t="s">
        <v>23</v>
      </c>
      <c r="D633" s="10">
        <v>310.51</v>
      </c>
      <c r="E633" s="10">
        <v>310.51</v>
      </c>
      <c r="F633" s="10">
        <v>0.54</v>
      </c>
      <c r="G633" s="22">
        <f t="shared" si="38"/>
        <v>193.64074999999974</v>
      </c>
      <c r="H633" s="23" t="s">
        <v>686</v>
      </c>
      <c r="I633" s="9"/>
      <c r="K633"/>
      <c r="L633" s="7">
        <f t="shared" si="37"/>
        <v>310.51</v>
      </c>
      <c r="M633" s="6"/>
      <c r="R633" s="7"/>
      <c r="S633" s="7"/>
    </row>
    <row r="634" spans="1:19" ht="28" x14ac:dyDescent="0.15">
      <c r="A634" s="24">
        <v>76</v>
      </c>
      <c r="B634" s="9" t="s">
        <v>657</v>
      </c>
      <c r="C634" s="9" t="s">
        <v>23</v>
      </c>
      <c r="D634" s="10">
        <v>284.64</v>
      </c>
      <c r="E634" s="10">
        <v>284.64</v>
      </c>
      <c r="F634" s="10">
        <v>0.49</v>
      </c>
      <c r="G634" s="22">
        <f t="shared" si="38"/>
        <v>193.92538999999974</v>
      </c>
      <c r="H634" s="23" t="s">
        <v>686</v>
      </c>
      <c r="I634" s="9"/>
      <c r="K634"/>
      <c r="L634" s="7">
        <f t="shared" si="37"/>
        <v>284.64</v>
      </c>
      <c r="M634" s="6"/>
      <c r="R634" s="7"/>
      <c r="S634" s="7"/>
    </row>
    <row r="635" spans="1:19" ht="28" x14ac:dyDescent="0.15">
      <c r="A635" s="24">
        <v>77</v>
      </c>
      <c r="B635" s="9" t="s">
        <v>658</v>
      </c>
      <c r="C635" s="9" t="s">
        <v>19</v>
      </c>
      <c r="D635" s="10">
        <v>365.14</v>
      </c>
      <c r="E635" s="10">
        <v>373.64</v>
      </c>
      <c r="F635" s="10">
        <v>44.45</v>
      </c>
      <c r="G635" s="22">
        <f t="shared" si="38"/>
        <v>194.29902999999973</v>
      </c>
      <c r="H635" s="23" t="s">
        <v>686</v>
      </c>
      <c r="I635" s="9"/>
      <c r="K635" s="7">
        <f>D635+8.5</f>
        <v>373.64</v>
      </c>
      <c r="L635" s="7">
        <f t="shared" si="37"/>
        <v>373.64</v>
      </c>
      <c r="M635" s="6"/>
      <c r="R635" s="7"/>
      <c r="S635" s="7"/>
    </row>
    <row r="636" spans="1:19" ht="28" x14ac:dyDescent="0.15">
      <c r="A636" s="24">
        <v>78</v>
      </c>
      <c r="B636" s="9" t="s">
        <v>659</v>
      </c>
      <c r="C636" s="9" t="s">
        <v>23</v>
      </c>
      <c r="D636" s="10">
        <v>310.93</v>
      </c>
      <c r="E636" s="10">
        <v>310.93</v>
      </c>
      <c r="F636" s="10">
        <v>0.41</v>
      </c>
      <c r="G636" s="22">
        <f t="shared" si="38"/>
        <v>194.60995999999975</v>
      </c>
      <c r="H636" s="23" t="s">
        <v>686</v>
      </c>
      <c r="I636" s="9"/>
      <c r="K636"/>
      <c r="L636" s="7">
        <f t="shared" si="37"/>
        <v>310.93</v>
      </c>
      <c r="M636" s="6"/>
      <c r="R636" s="7"/>
      <c r="S636" s="7"/>
    </row>
    <row r="637" spans="1:19" ht="28" x14ac:dyDescent="0.15">
      <c r="A637" s="24">
        <v>79</v>
      </c>
      <c r="B637" s="9" t="s">
        <v>660</v>
      </c>
      <c r="C637" s="9" t="s">
        <v>28</v>
      </c>
      <c r="D637" s="10">
        <v>228.69</v>
      </c>
      <c r="E637" s="10">
        <v>237.19</v>
      </c>
      <c r="F637" s="10">
        <v>9.08</v>
      </c>
      <c r="G637" s="22">
        <f t="shared" si="38"/>
        <v>194.84714999999974</v>
      </c>
      <c r="H637" s="23" t="s">
        <v>686</v>
      </c>
      <c r="I637" s="9"/>
      <c r="K637" s="7">
        <f t="shared" ref="K637:K638" si="40">D637+8.5</f>
        <v>237.19</v>
      </c>
      <c r="L637" s="7">
        <f t="shared" si="37"/>
        <v>237.19</v>
      </c>
      <c r="M637" s="6"/>
      <c r="R637" s="7"/>
      <c r="S637" s="7"/>
    </row>
    <row r="638" spans="1:19" ht="28" x14ac:dyDescent="0.15">
      <c r="A638" s="24">
        <v>80</v>
      </c>
      <c r="B638" s="9" t="s">
        <v>661</v>
      </c>
      <c r="C638" s="9" t="s">
        <v>14</v>
      </c>
      <c r="D638" s="10">
        <v>112.94</v>
      </c>
      <c r="E638" s="10">
        <v>121.44</v>
      </c>
      <c r="F638" s="10">
        <v>59.92</v>
      </c>
      <c r="G638" s="22">
        <f t="shared" si="38"/>
        <v>194.96858999999975</v>
      </c>
      <c r="H638" s="23" t="s">
        <v>686</v>
      </c>
      <c r="I638" s="9"/>
      <c r="K638" s="7">
        <f t="shared" si="40"/>
        <v>121.44</v>
      </c>
      <c r="L638" s="7">
        <f t="shared" si="37"/>
        <v>121.44</v>
      </c>
      <c r="M638" s="6"/>
      <c r="R638" s="7"/>
      <c r="S638" s="7"/>
    </row>
    <row r="639" spans="1:19" ht="28" x14ac:dyDescent="0.15">
      <c r="A639" s="24">
        <v>81</v>
      </c>
      <c r="B639" s="9" t="s">
        <v>662</v>
      </c>
      <c r="C639" s="9" t="s">
        <v>23</v>
      </c>
      <c r="D639" s="10">
        <v>250.31</v>
      </c>
      <c r="E639" s="10">
        <v>250.31</v>
      </c>
      <c r="F639" s="10">
        <v>0.06</v>
      </c>
      <c r="G639" s="22">
        <f t="shared" si="38"/>
        <v>195.21889999999976</v>
      </c>
      <c r="H639" s="23" t="s">
        <v>686</v>
      </c>
      <c r="I639" s="9"/>
      <c r="K639"/>
      <c r="L639" s="7">
        <f t="shared" si="37"/>
        <v>250.31</v>
      </c>
      <c r="M639" s="6"/>
      <c r="R639" s="7"/>
      <c r="S639" s="7"/>
    </row>
    <row r="640" spans="1:19" ht="28" x14ac:dyDescent="0.15">
      <c r="A640" s="24">
        <v>82</v>
      </c>
      <c r="B640" s="9" t="s">
        <v>663</v>
      </c>
      <c r="C640" s="9" t="s">
        <v>23</v>
      </c>
      <c r="D640" s="10">
        <v>293.87</v>
      </c>
      <c r="E640" s="10">
        <v>293.87</v>
      </c>
      <c r="F640" s="10">
        <v>0.34</v>
      </c>
      <c r="G640" s="22">
        <f t="shared" si="38"/>
        <v>195.51276999999976</v>
      </c>
      <c r="H640" s="23" t="s">
        <v>686</v>
      </c>
      <c r="I640" s="9"/>
      <c r="K640"/>
      <c r="L640" s="7">
        <f t="shared" si="37"/>
        <v>293.87</v>
      </c>
      <c r="M640" s="6"/>
      <c r="R640" s="7"/>
      <c r="S640" s="7"/>
    </row>
    <row r="641" spans="1:19" ht="28" x14ac:dyDescent="0.15">
      <c r="A641" s="24">
        <v>83</v>
      </c>
      <c r="B641" s="9" t="s">
        <v>664</v>
      </c>
      <c r="C641" s="9" t="s">
        <v>28</v>
      </c>
      <c r="D641" s="10">
        <v>234.51</v>
      </c>
      <c r="E641" s="10">
        <v>243.01</v>
      </c>
      <c r="F641" s="10">
        <v>2.71</v>
      </c>
      <c r="G641" s="22">
        <f t="shared" si="38"/>
        <v>195.75577999999976</v>
      </c>
      <c r="H641" s="23" t="s">
        <v>686</v>
      </c>
      <c r="I641" s="9"/>
      <c r="K641" s="7">
        <f>D641+8.5</f>
        <v>243.01</v>
      </c>
      <c r="L641" s="7">
        <f t="shared" si="37"/>
        <v>243.01</v>
      </c>
      <c r="M641" s="6"/>
      <c r="R641" s="7"/>
      <c r="S641" s="7"/>
    </row>
    <row r="642" spans="1:19" ht="28" x14ac:dyDescent="0.15">
      <c r="A642" s="24">
        <v>84</v>
      </c>
      <c r="B642" s="9" t="s">
        <v>665</v>
      </c>
      <c r="C642" s="9" t="s">
        <v>23</v>
      </c>
      <c r="D642" s="10">
        <v>258.58</v>
      </c>
      <c r="E642" s="10">
        <v>258.58</v>
      </c>
      <c r="F642" s="10">
        <v>0.36</v>
      </c>
      <c r="G642" s="22">
        <f t="shared" si="38"/>
        <v>196.01435999999975</v>
      </c>
      <c r="H642" s="23" t="s">
        <v>686</v>
      </c>
      <c r="I642" s="9"/>
      <c r="K642"/>
      <c r="L642" s="7">
        <f t="shared" si="37"/>
        <v>258.58</v>
      </c>
      <c r="M642" s="6"/>
      <c r="R642" s="7"/>
      <c r="S642" s="7"/>
    </row>
    <row r="643" spans="1:19" ht="28" x14ac:dyDescent="0.15">
      <c r="A643" s="24">
        <v>85</v>
      </c>
      <c r="B643" s="9" t="s">
        <v>666</v>
      </c>
      <c r="C643" s="9" t="s">
        <v>23</v>
      </c>
      <c r="D643" s="10">
        <v>344.39</v>
      </c>
      <c r="E643" s="10">
        <v>344.39</v>
      </c>
      <c r="F643" s="10">
        <v>0.38</v>
      </c>
      <c r="G643" s="22">
        <f t="shared" si="38"/>
        <v>196.35874999999976</v>
      </c>
      <c r="H643" s="23" t="s">
        <v>686</v>
      </c>
      <c r="I643" s="9"/>
      <c r="K643"/>
      <c r="L643" s="7">
        <f t="shared" ref="L643:L687" si="41">IF(K643&lt;&gt;"",K643,D643)</f>
        <v>344.39</v>
      </c>
      <c r="M643" s="6"/>
      <c r="R643" s="7"/>
      <c r="S643" s="7"/>
    </row>
    <row r="644" spans="1:19" ht="28" x14ac:dyDescent="0.15">
      <c r="A644" s="24">
        <v>86</v>
      </c>
      <c r="B644" s="9" t="s">
        <v>667</v>
      </c>
      <c r="C644" s="9" t="s">
        <v>28</v>
      </c>
      <c r="D644" s="10">
        <v>338.53</v>
      </c>
      <c r="E644" s="10">
        <v>347.03</v>
      </c>
      <c r="F644" s="10">
        <v>14.11</v>
      </c>
      <c r="G644" s="22">
        <f t="shared" ref="G644:G687" si="42">E644/1000+G643</f>
        <v>196.70577999999975</v>
      </c>
      <c r="H644" s="23" t="s">
        <v>686</v>
      </c>
      <c r="I644" s="9"/>
      <c r="K644" s="7">
        <f t="shared" ref="K644:K647" si="43">D644+8.5</f>
        <v>347.03</v>
      </c>
      <c r="L644" s="7">
        <f t="shared" si="41"/>
        <v>347.03</v>
      </c>
      <c r="M644" s="6"/>
      <c r="R644" s="7"/>
      <c r="S644" s="7"/>
    </row>
    <row r="645" spans="1:19" ht="28" x14ac:dyDescent="0.15">
      <c r="A645" s="24">
        <v>87</v>
      </c>
      <c r="B645" s="9" t="s">
        <v>668</v>
      </c>
      <c r="C645" s="9" t="s">
        <v>14</v>
      </c>
      <c r="D645" s="10">
        <v>241.6</v>
      </c>
      <c r="E645" s="10">
        <v>250.1</v>
      </c>
      <c r="F645" s="10">
        <v>42.55</v>
      </c>
      <c r="G645" s="22">
        <f t="shared" si="42"/>
        <v>196.95587999999975</v>
      </c>
      <c r="H645" s="23" t="s">
        <v>686</v>
      </c>
      <c r="I645" s="9"/>
      <c r="K645" s="7">
        <f t="shared" si="43"/>
        <v>250.1</v>
      </c>
      <c r="L645" s="7">
        <f t="shared" si="41"/>
        <v>250.1</v>
      </c>
      <c r="M645" s="6"/>
      <c r="R645" s="7"/>
      <c r="S645" s="7"/>
    </row>
    <row r="646" spans="1:19" ht="28" x14ac:dyDescent="0.15">
      <c r="A646" s="24">
        <v>88</v>
      </c>
      <c r="B646" s="9" t="s">
        <v>669</v>
      </c>
      <c r="C646" s="9" t="s">
        <v>14</v>
      </c>
      <c r="D646" s="10">
        <v>152.21</v>
      </c>
      <c r="E646" s="10">
        <v>160.71</v>
      </c>
      <c r="F646" s="10">
        <v>9.65</v>
      </c>
      <c r="G646" s="22">
        <f t="shared" si="42"/>
        <v>197.11658999999975</v>
      </c>
      <c r="H646" s="23" t="s">
        <v>686</v>
      </c>
      <c r="I646" s="9"/>
      <c r="K646" s="7">
        <f t="shared" si="43"/>
        <v>160.71</v>
      </c>
      <c r="L646" s="7">
        <f t="shared" si="41"/>
        <v>160.71</v>
      </c>
      <c r="M646" s="6"/>
      <c r="R646" s="7"/>
      <c r="S646" s="7"/>
    </row>
    <row r="647" spans="1:19" ht="28" x14ac:dyDescent="0.15">
      <c r="A647" s="24">
        <v>89</v>
      </c>
      <c r="B647" s="9" t="s">
        <v>670</v>
      </c>
      <c r="C647" s="9" t="s">
        <v>19</v>
      </c>
      <c r="D647" s="10">
        <v>206.41</v>
      </c>
      <c r="E647" s="10">
        <v>214.91</v>
      </c>
      <c r="F647" s="10">
        <v>6.79</v>
      </c>
      <c r="G647" s="22">
        <f t="shared" si="42"/>
        <v>197.33149999999975</v>
      </c>
      <c r="H647" s="23" t="s">
        <v>686</v>
      </c>
      <c r="I647" s="9"/>
      <c r="K647" s="7">
        <f t="shared" si="43"/>
        <v>214.91</v>
      </c>
      <c r="L647" s="7">
        <f t="shared" si="41"/>
        <v>214.91</v>
      </c>
      <c r="M647" s="6"/>
      <c r="R647" s="7"/>
      <c r="S647" s="7"/>
    </row>
    <row r="648" spans="1:19" ht="28" x14ac:dyDescent="0.15">
      <c r="A648" s="24">
        <v>90</v>
      </c>
      <c r="B648" s="9" t="s">
        <v>671</v>
      </c>
      <c r="C648" s="9" t="s">
        <v>23</v>
      </c>
      <c r="D648" s="10">
        <v>240.43</v>
      </c>
      <c r="E648" s="10">
        <v>240.43</v>
      </c>
      <c r="F648" s="10">
        <v>0.73</v>
      </c>
      <c r="G648" s="22">
        <f t="shared" si="42"/>
        <v>197.57192999999975</v>
      </c>
      <c r="H648" s="23" t="s">
        <v>686</v>
      </c>
      <c r="I648" s="9"/>
      <c r="K648"/>
      <c r="L648" s="7">
        <f t="shared" si="41"/>
        <v>240.43</v>
      </c>
      <c r="M648" s="6"/>
      <c r="R648" s="7"/>
      <c r="S648" s="7"/>
    </row>
    <row r="649" spans="1:19" ht="28" x14ac:dyDescent="0.15">
      <c r="A649" s="24">
        <v>91</v>
      </c>
      <c r="B649" s="9" t="s">
        <v>672</v>
      </c>
      <c r="C649" s="9" t="s">
        <v>23</v>
      </c>
      <c r="D649" s="10">
        <v>281.37</v>
      </c>
      <c r="E649" s="10">
        <v>281.37</v>
      </c>
      <c r="F649" s="10">
        <v>7.0000000000000007E-2</v>
      </c>
      <c r="G649" s="22">
        <f t="shared" si="42"/>
        <v>197.85329999999976</v>
      </c>
      <c r="H649" s="23" t="s">
        <v>686</v>
      </c>
      <c r="I649" s="9"/>
      <c r="K649"/>
      <c r="L649" s="7">
        <f t="shared" si="41"/>
        <v>281.37</v>
      </c>
      <c r="M649" s="6"/>
      <c r="R649" s="7"/>
      <c r="S649" s="7"/>
    </row>
    <row r="650" spans="1:19" ht="28" x14ac:dyDescent="0.15">
      <c r="A650" s="24">
        <v>92</v>
      </c>
      <c r="B650" s="9" t="s">
        <v>673</v>
      </c>
      <c r="C650" s="9" t="s">
        <v>23</v>
      </c>
      <c r="D650" s="10">
        <v>275.69</v>
      </c>
      <c r="E650" s="10">
        <v>275.69</v>
      </c>
      <c r="F650" s="10">
        <v>0.45</v>
      </c>
      <c r="G650" s="22">
        <f t="shared" si="42"/>
        <v>198.12898999999976</v>
      </c>
      <c r="H650" s="23" t="s">
        <v>686</v>
      </c>
      <c r="I650" s="9"/>
      <c r="K650"/>
      <c r="L650" s="7">
        <f t="shared" si="41"/>
        <v>275.69</v>
      </c>
      <c r="M650" s="6"/>
      <c r="R650" s="7"/>
      <c r="S650" s="7"/>
    </row>
    <row r="651" spans="1:19" ht="28" x14ac:dyDescent="0.15">
      <c r="A651" s="24">
        <v>93</v>
      </c>
      <c r="B651" s="9" t="s">
        <v>674</v>
      </c>
      <c r="C651" s="9" t="s">
        <v>23</v>
      </c>
      <c r="D651" s="10">
        <v>367.79</v>
      </c>
      <c r="E651" s="10">
        <v>367.79</v>
      </c>
      <c r="F651" s="10">
        <v>0.1</v>
      </c>
      <c r="G651" s="22">
        <f t="shared" si="42"/>
        <v>198.49677999999977</v>
      </c>
      <c r="H651" s="23" t="s">
        <v>686</v>
      </c>
      <c r="I651" s="9"/>
      <c r="K651"/>
      <c r="L651" s="7">
        <f t="shared" si="41"/>
        <v>367.79</v>
      </c>
      <c r="M651" s="6"/>
      <c r="R651" s="7"/>
      <c r="S651" s="7"/>
    </row>
    <row r="652" spans="1:19" ht="28" x14ac:dyDescent="0.15">
      <c r="A652" s="24">
        <v>94</v>
      </c>
      <c r="B652" s="9" t="s">
        <v>675</v>
      </c>
      <c r="C652" s="9" t="s">
        <v>14</v>
      </c>
      <c r="D652" s="10">
        <v>352.56</v>
      </c>
      <c r="E652" s="10">
        <v>361.06</v>
      </c>
      <c r="F652" s="10">
        <v>4.07</v>
      </c>
      <c r="G652" s="22">
        <f t="shared" si="42"/>
        <v>198.85783999999978</v>
      </c>
      <c r="H652" s="23" t="s">
        <v>686</v>
      </c>
      <c r="I652" s="9"/>
      <c r="K652" s="7">
        <f t="shared" ref="K652:K653" si="44">D652+8.5</f>
        <v>361.06</v>
      </c>
      <c r="L652" s="7">
        <f t="shared" si="41"/>
        <v>361.06</v>
      </c>
      <c r="M652" s="6"/>
      <c r="R652" s="7"/>
      <c r="S652" s="7"/>
    </row>
    <row r="653" spans="1:19" ht="28" x14ac:dyDescent="0.15">
      <c r="A653" s="24">
        <v>95</v>
      </c>
      <c r="B653" s="9" t="s">
        <v>676</v>
      </c>
      <c r="C653" s="9" t="s">
        <v>14</v>
      </c>
      <c r="D653" s="10">
        <v>160.38999999999999</v>
      </c>
      <c r="E653" s="10">
        <v>168.89</v>
      </c>
      <c r="F653" s="10">
        <v>57.77</v>
      </c>
      <c r="G653" s="22">
        <f t="shared" si="42"/>
        <v>199.02672999999979</v>
      </c>
      <c r="H653" s="23" t="s">
        <v>686</v>
      </c>
      <c r="I653" s="9"/>
      <c r="K653" s="7">
        <f t="shared" si="44"/>
        <v>168.89</v>
      </c>
      <c r="L653" s="7">
        <f t="shared" si="41"/>
        <v>168.89</v>
      </c>
      <c r="M653" s="6"/>
      <c r="R653" s="7"/>
      <c r="S653" s="7"/>
    </row>
    <row r="654" spans="1:19" ht="28" x14ac:dyDescent="0.15">
      <c r="A654" s="24">
        <v>96</v>
      </c>
      <c r="B654" s="9" t="s">
        <v>677</v>
      </c>
      <c r="C654" s="9" t="s">
        <v>23</v>
      </c>
      <c r="D654" s="10">
        <v>359.61</v>
      </c>
      <c r="E654" s="10">
        <v>359.61</v>
      </c>
      <c r="F654" s="10">
        <v>0.56999999999999995</v>
      </c>
      <c r="G654" s="22">
        <f t="shared" si="42"/>
        <v>199.38633999999979</v>
      </c>
      <c r="H654" s="23" t="s">
        <v>686</v>
      </c>
      <c r="I654" s="9"/>
      <c r="K654"/>
      <c r="L654" s="7">
        <f t="shared" si="41"/>
        <v>359.61</v>
      </c>
      <c r="M654" s="6"/>
      <c r="R654" s="7"/>
      <c r="S654" s="7"/>
    </row>
    <row r="655" spans="1:19" ht="28" x14ac:dyDescent="0.15">
      <c r="A655" s="24">
        <v>97</v>
      </c>
      <c r="B655" s="9" t="s">
        <v>678</v>
      </c>
      <c r="C655" s="9" t="s">
        <v>23</v>
      </c>
      <c r="D655" s="10">
        <v>302.10000000000002</v>
      </c>
      <c r="E655" s="10">
        <v>302.10000000000002</v>
      </c>
      <c r="F655" s="10">
        <v>0.38</v>
      </c>
      <c r="G655" s="22">
        <f t="shared" si="42"/>
        <v>199.68843999999979</v>
      </c>
      <c r="H655" s="23" t="s">
        <v>686</v>
      </c>
      <c r="I655" s="9"/>
      <c r="K655"/>
      <c r="L655" s="7">
        <f t="shared" si="41"/>
        <v>302.10000000000002</v>
      </c>
      <c r="M655" s="6"/>
      <c r="R655" s="7"/>
      <c r="S655" s="7"/>
    </row>
    <row r="656" spans="1:19" ht="28" x14ac:dyDescent="0.15">
      <c r="A656" s="24">
        <v>98</v>
      </c>
      <c r="B656" s="9" t="s">
        <v>679</v>
      </c>
      <c r="C656" s="9" t="s">
        <v>19</v>
      </c>
      <c r="D656" s="10">
        <v>214.92</v>
      </c>
      <c r="E656" s="10">
        <v>223.42</v>
      </c>
      <c r="F656" s="10">
        <v>51.47</v>
      </c>
      <c r="G656" s="22">
        <f t="shared" si="42"/>
        <v>199.91185999999979</v>
      </c>
      <c r="H656" s="23" t="s">
        <v>686</v>
      </c>
      <c r="I656" s="9"/>
      <c r="K656" s="7">
        <f t="shared" ref="K656:K657" si="45">D656+8.5</f>
        <v>223.42</v>
      </c>
      <c r="L656" s="7">
        <f t="shared" si="41"/>
        <v>223.42</v>
      </c>
      <c r="M656" s="6"/>
      <c r="R656" s="7"/>
      <c r="S656" s="7"/>
    </row>
    <row r="657" spans="1:19" ht="28" x14ac:dyDescent="0.15">
      <c r="A657" s="24">
        <v>99</v>
      </c>
      <c r="B657" s="9" t="s">
        <v>680</v>
      </c>
      <c r="C657" s="9" t="s">
        <v>19</v>
      </c>
      <c r="D657" s="10">
        <v>279.27999999999997</v>
      </c>
      <c r="E657" s="10">
        <v>287.77999999999997</v>
      </c>
      <c r="F657" s="10">
        <v>13.95</v>
      </c>
      <c r="G657" s="22">
        <f t="shared" si="42"/>
        <v>200.19963999999979</v>
      </c>
      <c r="H657" s="23" t="s">
        <v>686</v>
      </c>
      <c r="I657" s="9"/>
      <c r="K657" s="7">
        <f t="shared" si="45"/>
        <v>287.77999999999997</v>
      </c>
      <c r="L657" s="7">
        <f t="shared" si="41"/>
        <v>287.77999999999997</v>
      </c>
      <c r="M657" s="6"/>
      <c r="R657" s="7"/>
      <c r="S657" s="7"/>
    </row>
    <row r="658" spans="1:19" ht="28" x14ac:dyDescent="0.15">
      <c r="A658" s="24">
        <v>100</v>
      </c>
      <c r="B658" s="9" t="s">
        <v>117</v>
      </c>
      <c r="C658" s="9" t="s">
        <v>23</v>
      </c>
      <c r="D658" s="10">
        <v>239.82</v>
      </c>
      <c r="E658" s="10">
        <v>239.82</v>
      </c>
      <c r="F658" s="10">
        <v>0.88</v>
      </c>
      <c r="G658" s="22">
        <f t="shared" si="42"/>
        <v>200.4394599999998</v>
      </c>
      <c r="H658" s="23" t="s">
        <v>686</v>
      </c>
      <c r="I658" s="9"/>
      <c r="K658"/>
      <c r="L658" s="7">
        <f t="shared" si="41"/>
        <v>239.82</v>
      </c>
      <c r="M658" s="6"/>
      <c r="R658" s="7"/>
      <c r="S658" s="7"/>
    </row>
    <row r="659" spans="1:19" ht="28" x14ac:dyDescent="0.15">
      <c r="A659" s="24">
        <v>101</v>
      </c>
      <c r="B659" s="9" t="s">
        <v>118</v>
      </c>
      <c r="C659" s="9" t="s">
        <v>19</v>
      </c>
      <c r="D659" s="10">
        <v>139.97</v>
      </c>
      <c r="E659" s="10">
        <v>148.47</v>
      </c>
      <c r="F659" s="10">
        <v>55.16</v>
      </c>
      <c r="G659" s="22">
        <f t="shared" si="42"/>
        <v>200.5879299999998</v>
      </c>
      <c r="H659" s="23" t="s">
        <v>686</v>
      </c>
      <c r="I659" s="9"/>
      <c r="K659" s="7">
        <f>D659+8.5</f>
        <v>148.47</v>
      </c>
      <c r="L659" s="7">
        <f t="shared" si="41"/>
        <v>148.47</v>
      </c>
      <c r="M659" s="6"/>
      <c r="R659" s="7"/>
      <c r="S659" s="7"/>
    </row>
    <row r="660" spans="1:19" ht="28" x14ac:dyDescent="0.15">
      <c r="A660" s="24">
        <v>102</v>
      </c>
      <c r="B660" s="9" t="s">
        <v>121</v>
      </c>
      <c r="C660" s="9" t="s">
        <v>23</v>
      </c>
      <c r="D660" s="10">
        <v>318.42</v>
      </c>
      <c r="E660" s="10">
        <v>318.42</v>
      </c>
      <c r="F660" s="10">
        <v>0.16</v>
      </c>
      <c r="G660" s="22">
        <f t="shared" si="42"/>
        <v>200.9063499999998</v>
      </c>
      <c r="H660" s="23" t="s">
        <v>686</v>
      </c>
      <c r="I660" s="9"/>
      <c r="K660"/>
      <c r="L660" s="7">
        <f t="shared" si="41"/>
        <v>318.42</v>
      </c>
      <c r="M660" s="6"/>
      <c r="R660" s="7"/>
      <c r="S660" s="7"/>
    </row>
    <row r="661" spans="1:19" ht="28" x14ac:dyDescent="0.15">
      <c r="A661" s="24">
        <v>103</v>
      </c>
      <c r="B661" s="9" t="s">
        <v>122</v>
      </c>
      <c r="C661" s="9" t="s">
        <v>23</v>
      </c>
      <c r="D661" s="10">
        <v>295.83</v>
      </c>
      <c r="E661" s="10">
        <v>295.83</v>
      </c>
      <c r="F661" s="10">
        <v>0.34</v>
      </c>
      <c r="G661" s="22">
        <f t="shared" si="42"/>
        <v>201.2021799999998</v>
      </c>
      <c r="H661" s="23" t="s">
        <v>686</v>
      </c>
      <c r="I661" s="9"/>
      <c r="K661"/>
      <c r="L661" s="7">
        <f t="shared" si="41"/>
        <v>295.83</v>
      </c>
      <c r="M661" s="6"/>
      <c r="R661" s="7"/>
      <c r="S661" s="7"/>
    </row>
    <row r="662" spans="1:19" ht="28" x14ac:dyDescent="0.15">
      <c r="A662" s="24">
        <v>104</v>
      </c>
      <c r="B662" s="9" t="s">
        <v>123</v>
      </c>
      <c r="C662" s="9" t="s">
        <v>28</v>
      </c>
      <c r="D662" s="10">
        <v>301.36</v>
      </c>
      <c r="E662" s="10">
        <v>309.86</v>
      </c>
      <c r="F662" s="10">
        <v>19.239999999999998</v>
      </c>
      <c r="G662" s="22">
        <f t="shared" si="42"/>
        <v>201.51203999999979</v>
      </c>
      <c r="H662" s="23" t="s">
        <v>686</v>
      </c>
      <c r="I662" s="9"/>
      <c r="K662" s="7">
        <f>D662+8.5</f>
        <v>309.86</v>
      </c>
      <c r="L662" s="7">
        <f t="shared" si="41"/>
        <v>309.86</v>
      </c>
      <c r="M662" s="6"/>
      <c r="R662" s="7"/>
      <c r="S662" s="7"/>
    </row>
    <row r="663" spans="1:19" ht="28" x14ac:dyDescent="0.15">
      <c r="A663" s="24">
        <v>105</v>
      </c>
      <c r="B663" s="9" t="s">
        <v>124</v>
      </c>
      <c r="C663" s="9" t="s">
        <v>23</v>
      </c>
      <c r="D663" s="10">
        <v>376.57</v>
      </c>
      <c r="E663" s="10">
        <v>376.57</v>
      </c>
      <c r="F663" s="10">
        <v>0.65</v>
      </c>
      <c r="G663" s="22">
        <f t="shared" si="42"/>
        <v>201.88860999999977</v>
      </c>
      <c r="H663" s="23" t="s">
        <v>686</v>
      </c>
      <c r="I663" s="9"/>
      <c r="K663"/>
      <c r="L663" s="7">
        <f t="shared" si="41"/>
        <v>376.57</v>
      </c>
      <c r="M663" s="6"/>
      <c r="R663" s="7"/>
      <c r="S663" s="7"/>
    </row>
    <row r="664" spans="1:19" ht="28" x14ac:dyDescent="0.15">
      <c r="A664" s="24">
        <v>106</v>
      </c>
      <c r="B664" s="9" t="s">
        <v>125</v>
      </c>
      <c r="C664" s="9" t="s">
        <v>23</v>
      </c>
      <c r="D664" s="10">
        <v>337.81</v>
      </c>
      <c r="E664" s="10">
        <v>337.81</v>
      </c>
      <c r="F664" s="10">
        <v>0.65</v>
      </c>
      <c r="G664" s="22">
        <f t="shared" si="42"/>
        <v>202.22641999999976</v>
      </c>
      <c r="H664" s="23" t="s">
        <v>686</v>
      </c>
      <c r="I664" s="9"/>
      <c r="K664"/>
      <c r="L664" s="7">
        <f t="shared" si="41"/>
        <v>337.81</v>
      </c>
      <c r="M664" s="6"/>
      <c r="R664" s="7"/>
      <c r="S664" s="7"/>
    </row>
    <row r="665" spans="1:19" ht="28" x14ac:dyDescent="0.15">
      <c r="A665" s="24">
        <v>107</v>
      </c>
      <c r="B665" s="9" t="s">
        <v>126</v>
      </c>
      <c r="C665" s="9" t="s">
        <v>23</v>
      </c>
      <c r="D665" s="10">
        <v>323.86</v>
      </c>
      <c r="E665" s="10">
        <v>323.86</v>
      </c>
      <c r="F665" s="10">
        <v>0.83</v>
      </c>
      <c r="G665" s="22">
        <f t="shared" si="42"/>
        <v>202.55027999999976</v>
      </c>
      <c r="H665" s="23" t="s">
        <v>686</v>
      </c>
      <c r="I665" s="9"/>
      <c r="K665"/>
      <c r="L665" s="7">
        <f t="shared" si="41"/>
        <v>323.86</v>
      </c>
      <c r="M665" s="6"/>
      <c r="R665" s="7"/>
      <c r="S665" s="7"/>
    </row>
    <row r="666" spans="1:19" ht="28" x14ac:dyDescent="0.15">
      <c r="A666" s="24">
        <v>108</v>
      </c>
      <c r="B666" s="9" t="s">
        <v>127</v>
      </c>
      <c r="C666" s="9" t="s">
        <v>28</v>
      </c>
      <c r="D666" s="10">
        <v>145.4</v>
      </c>
      <c r="E666" s="10">
        <v>153.9</v>
      </c>
      <c r="F666" s="10">
        <v>22.65</v>
      </c>
      <c r="G666" s="22">
        <f t="shared" si="42"/>
        <v>202.70417999999975</v>
      </c>
      <c r="H666" s="23" t="s">
        <v>686</v>
      </c>
      <c r="I666" s="9"/>
      <c r="K666" s="7">
        <f t="shared" ref="K666:K669" si="46">D666+8.5</f>
        <v>153.9</v>
      </c>
      <c r="L666" s="7">
        <f t="shared" si="41"/>
        <v>153.9</v>
      </c>
      <c r="M666" s="6"/>
      <c r="R666" s="7"/>
      <c r="S666" s="7"/>
    </row>
    <row r="667" spans="1:19" ht="28" x14ac:dyDescent="0.15">
      <c r="A667" s="24">
        <v>109</v>
      </c>
      <c r="B667" s="9" t="s">
        <v>128</v>
      </c>
      <c r="C667" s="9" t="s">
        <v>19</v>
      </c>
      <c r="D667" s="10">
        <v>328.24</v>
      </c>
      <c r="E667" s="10">
        <v>336.74</v>
      </c>
      <c r="F667" s="10">
        <v>56.42</v>
      </c>
      <c r="G667" s="22">
        <f t="shared" si="42"/>
        <v>203.04091999999974</v>
      </c>
      <c r="H667" s="23" t="s">
        <v>686</v>
      </c>
      <c r="I667" s="9"/>
      <c r="K667" s="7">
        <f t="shared" si="46"/>
        <v>336.74</v>
      </c>
      <c r="L667" s="7">
        <f t="shared" si="41"/>
        <v>336.74</v>
      </c>
      <c r="M667" s="6"/>
      <c r="R667" s="7"/>
      <c r="S667" s="7"/>
    </row>
    <row r="668" spans="1:19" ht="28" x14ac:dyDescent="0.15">
      <c r="A668" s="24">
        <v>110</v>
      </c>
      <c r="B668" s="9" t="s">
        <v>129</v>
      </c>
      <c r="C668" s="9" t="s">
        <v>19</v>
      </c>
      <c r="D668" s="10">
        <v>219.29</v>
      </c>
      <c r="E668" s="10">
        <v>227.79</v>
      </c>
      <c r="F668" s="10">
        <v>32.85</v>
      </c>
      <c r="G668" s="22">
        <f t="shared" si="42"/>
        <v>203.26870999999974</v>
      </c>
      <c r="H668" s="23" t="s">
        <v>686</v>
      </c>
      <c r="I668" s="9"/>
      <c r="K668" s="7">
        <f t="shared" si="46"/>
        <v>227.79</v>
      </c>
      <c r="L668" s="7">
        <f t="shared" si="41"/>
        <v>227.79</v>
      </c>
      <c r="M668" s="6"/>
      <c r="R668" s="7"/>
      <c r="S668" s="7"/>
    </row>
    <row r="669" spans="1:19" ht="28" x14ac:dyDescent="0.15">
      <c r="A669" s="24">
        <v>111</v>
      </c>
      <c r="B669" s="9" t="s">
        <v>130</v>
      </c>
      <c r="C669" s="9" t="s">
        <v>19</v>
      </c>
      <c r="D669" s="10">
        <v>280.44</v>
      </c>
      <c r="E669" s="10">
        <v>288.94</v>
      </c>
      <c r="F669" s="10">
        <v>10.130000000000001</v>
      </c>
      <c r="G669" s="22">
        <f t="shared" si="42"/>
        <v>203.55764999999974</v>
      </c>
      <c r="H669" s="23" t="s">
        <v>686</v>
      </c>
      <c r="I669" s="9"/>
      <c r="K669" s="7">
        <f t="shared" si="46"/>
        <v>288.94</v>
      </c>
      <c r="L669" s="7">
        <f t="shared" si="41"/>
        <v>288.94</v>
      </c>
      <c r="M669" s="6"/>
      <c r="R669" s="7"/>
      <c r="S669" s="7"/>
    </row>
    <row r="670" spans="1:19" ht="28" x14ac:dyDescent="0.15">
      <c r="A670" s="24">
        <v>112</v>
      </c>
      <c r="B670" s="9" t="s">
        <v>131</v>
      </c>
      <c r="C670" s="9" t="s">
        <v>23</v>
      </c>
      <c r="D670" s="10">
        <v>326.04000000000002</v>
      </c>
      <c r="E670" s="10">
        <v>326.04000000000002</v>
      </c>
      <c r="F670" s="10">
        <v>0.06</v>
      </c>
      <c r="G670" s="22">
        <f t="shared" si="42"/>
        <v>203.88368999999975</v>
      </c>
      <c r="H670" s="23" t="s">
        <v>686</v>
      </c>
      <c r="I670" s="9"/>
      <c r="K670"/>
      <c r="L670" s="7">
        <f t="shared" si="41"/>
        <v>326.04000000000002</v>
      </c>
      <c r="M670" s="6"/>
      <c r="R670" s="7"/>
      <c r="S670" s="7"/>
    </row>
    <row r="671" spans="1:19" ht="28" x14ac:dyDescent="0.15">
      <c r="A671" s="24">
        <v>113</v>
      </c>
      <c r="B671" s="9" t="s">
        <v>132</v>
      </c>
      <c r="C671" s="9" t="s">
        <v>28</v>
      </c>
      <c r="D671" s="10">
        <v>301.33999999999997</v>
      </c>
      <c r="E671" s="10">
        <v>309.83999999999997</v>
      </c>
      <c r="F671" s="10">
        <v>11.8</v>
      </c>
      <c r="G671" s="22">
        <f t="shared" si="42"/>
        <v>204.19352999999975</v>
      </c>
      <c r="H671" s="23" t="s">
        <v>686</v>
      </c>
      <c r="I671" s="9"/>
      <c r="K671" s="7">
        <f>D671+8.5</f>
        <v>309.83999999999997</v>
      </c>
      <c r="L671" s="7">
        <f t="shared" si="41"/>
        <v>309.83999999999997</v>
      </c>
      <c r="M671" s="6"/>
      <c r="R671" s="7"/>
      <c r="S671" s="7"/>
    </row>
    <row r="672" spans="1:19" ht="28" x14ac:dyDescent="0.15">
      <c r="A672" s="24">
        <v>114</v>
      </c>
      <c r="B672" s="9" t="s">
        <v>133</v>
      </c>
      <c r="C672" s="9" t="s">
        <v>23</v>
      </c>
      <c r="D672" s="10">
        <v>256.89</v>
      </c>
      <c r="E672" s="10">
        <v>256.89</v>
      </c>
      <c r="F672" s="10">
        <v>0.08</v>
      </c>
      <c r="G672" s="22">
        <f t="shared" si="42"/>
        <v>204.45041999999975</v>
      </c>
      <c r="H672" s="23" t="s">
        <v>686</v>
      </c>
      <c r="I672" s="9"/>
      <c r="K672"/>
      <c r="L672" s="7">
        <f t="shared" si="41"/>
        <v>256.89</v>
      </c>
      <c r="M672" s="6"/>
      <c r="R672" s="7"/>
      <c r="S672" s="7"/>
    </row>
    <row r="673" spans="1:19" ht="28" x14ac:dyDescent="0.15">
      <c r="A673" s="24">
        <v>115</v>
      </c>
      <c r="B673" s="9" t="s">
        <v>134</v>
      </c>
      <c r="C673" s="9" t="s">
        <v>23</v>
      </c>
      <c r="D673" s="10">
        <v>289.45</v>
      </c>
      <c r="E673" s="10">
        <v>289.45</v>
      </c>
      <c r="F673" s="10">
        <v>0.22</v>
      </c>
      <c r="G673" s="22">
        <f t="shared" si="42"/>
        <v>204.73986999999974</v>
      </c>
      <c r="H673" s="23" t="s">
        <v>686</v>
      </c>
      <c r="I673" s="9"/>
      <c r="K673"/>
      <c r="L673" s="7">
        <f t="shared" si="41"/>
        <v>289.45</v>
      </c>
      <c r="M673" s="6"/>
      <c r="R673" s="7"/>
      <c r="S673" s="7"/>
    </row>
    <row r="674" spans="1:19" ht="28" x14ac:dyDescent="0.15">
      <c r="A674" s="24">
        <v>116</v>
      </c>
      <c r="B674" s="9" t="s">
        <v>135</v>
      </c>
      <c r="C674" s="9" t="s">
        <v>19</v>
      </c>
      <c r="D674" s="10">
        <v>178.21</v>
      </c>
      <c r="E674" s="10">
        <v>186.71</v>
      </c>
      <c r="F674" s="10">
        <v>39.32</v>
      </c>
      <c r="G674" s="22">
        <f t="shared" si="42"/>
        <v>204.92657999999975</v>
      </c>
      <c r="H674" s="23" t="s">
        <v>686</v>
      </c>
      <c r="I674" s="9"/>
      <c r="K674" s="7">
        <f t="shared" ref="K674:K676" si="47">D674+8.5</f>
        <v>186.71</v>
      </c>
      <c r="L674" s="7">
        <f t="shared" si="41"/>
        <v>186.71</v>
      </c>
      <c r="M674" s="6"/>
      <c r="R674" s="7"/>
      <c r="S674" s="7"/>
    </row>
    <row r="675" spans="1:19" ht="28" x14ac:dyDescent="0.15">
      <c r="A675" s="24">
        <v>117</v>
      </c>
      <c r="B675" s="9" t="s">
        <v>136</v>
      </c>
      <c r="C675" s="9" t="s">
        <v>19</v>
      </c>
      <c r="D675" s="10">
        <v>249.94</v>
      </c>
      <c r="E675" s="10">
        <v>258.44</v>
      </c>
      <c r="F675" s="10">
        <v>0.59</v>
      </c>
      <c r="G675" s="22">
        <f t="shared" si="42"/>
        <v>205.18501999999975</v>
      </c>
      <c r="H675" s="23" t="s">
        <v>686</v>
      </c>
      <c r="I675" s="9"/>
      <c r="K675" s="7">
        <f t="shared" si="47"/>
        <v>258.44</v>
      </c>
      <c r="L675" s="7">
        <f t="shared" si="41"/>
        <v>258.44</v>
      </c>
      <c r="M675" s="6"/>
      <c r="R675" s="7"/>
      <c r="S675" s="7"/>
    </row>
    <row r="676" spans="1:19" ht="28" x14ac:dyDescent="0.15">
      <c r="A676" s="24">
        <v>118</v>
      </c>
      <c r="B676" s="9" t="s">
        <v>137</v>
      </c>
      <c r="C676" s="9" t="s">
        <v>19</v>
      </c>
      <c r="D676" s="10">
        <v>252.11</v>
      </c>
      <c r="E676" s="10">
        <v>260.61</v>
      </c>
      <c r="F676" s="10">
        <v>46.9</v>
      </c>
      <c r="G676" s="22">
        <f t="shared" si="42"/>
        <v>205.44562999999977</v>
      </c>
      <c r="H676" s="23" t="s">
        <v>686</v>
      </c>
      <c r="I676" s="9"/>
      <c r="K676" s="7">
        <f t="shared" si="47"/>
        <v>260.61</v>
      </c>
      <c r="L676" s="7">
        <f t="shared" si="41"/>
        <v>260.61</v>
      </c>
      <c r="M676" s="6"/>
      <c r="R676" s="7"/>
      <c r="S676" s="7"/>
    </row>
    <row r="677" spans="1:19" ht="28" x14ac:dyDescent="0.15">
      <c r="A677" s="24">
        <v>119</v>
      </c>
      <c r="B677" s="9" t="s">
        <v>138</v>
      </c>
      <c r="C677" s="9" t="s">
        <v>23</v>
      </c>
      <c r="D677" s="10">
        <v>260.55</v>
      </c>
      <c r="E677" s="10">
        <v>260.55</v>
      </c>
      <c r="F677" s="10">
        <v>2.73</v>
      </c>
      <c r="G677" s="22">
        <f t="shared" si="42"/>
        <v>205.70617999999976</v>
      </c>
      <c r="H677" s="23" t="s">
        <v>686</v>
      </c>
      <c r="I677" s="9"/>
      <c r="K677"/>
      <c r="L677" s="7">
        <f t="shared" si="41"/>
        <v>260.55</v>
      </c>
      <c r="M677" s="6"/>
      <c r="R677" s="7"/>
      <c r="S677" s="7"/>
    </row>
    <row r="678" spans="1:19" ht="28" x14ac:dyDescent="0.15">
      <c r="A678" s="24">
        <v>120</v>
      </c>
      <c r="B678" s="9" t="s">
        <v>139</v>
      </c>
      <c r="C678" s="9" t="s">
        <v>23</v>
      </c>
      <c r="D678" s="10">
        <v>328.49</v>
      </c>
      <c r="E678" s="10">
        <v>328.49</v>
      </c>
      <c r="F678" s="10">
        <v>1.77</v>
      </c>
      <c r="G678" s="22">
        <f t="shared" si="42"/>
        <v>206.03466999999975</v>
      </c>
      <c r="H678" s="23" t="s">
        <v>686</v>
      </c>
      <c r="I678" s="9"/>
      <c r="K678"/>
      <c r="L678" s="7">
        <f t="shared" si="41"/>
        <v>328.49</v>
      </c>
      <c r="M678" s="6"/>
      <c r="R678" s="7"/>
      <c r="S678" s="7"/>
    </row>
    <row r="679" spans="1:19" ht="28" x14ac:dyDescent="0.15">
      <c r="A679" s="24">
        <v>121</v>
      </c>
      <c r="B679" s="9" t="s">
        <v>140</v>
      </c>
      <c r="C679" s="9" t="s">
        <v>19</v>
      </c>
      <c r="D679" s="10">
        <v>251.15</v>
      </c>
      <c r="E679" s="10">
        <v>259.64999999999998</v>
      </c>
      <c r="F679" s="10">
        <v>17.190000000000001</v>
      </c>
      <c r="G679" s="22">
        <f t="shared" si="42"/>
        <v>206.29431999999974</v>
      </c>
      <c r="H679" s="23" t="s">
        <v>686</v>
      </c>
      <c r="I679" s="9"/>
      <c r="K679" s="7">
        <f t="shared" ref="K679:K682" si="48">D679+8.5</f>
        <v>259.64999999999998</v>
      </c>
      <c r="L679" s="7">
        <f t="shared" si="41"/>
        <v>259.64999999999998</v>
      </c>
      <c r="M679" s="6"/>
      <c r="R679" s="7"/>
      <c r="S679" s="7"/>
    </row>
    <row r="680" spans="1:19" ht="28" x14ac:dyDescent="0.15">
      <c r="A680" s="24">
        <v>122</v>
      </c>
      <c r="B680" s="9" t="s">
        <v>141</v>
      </c>
      <c r="C680" s="9" t="s">
        <v>19</v>
      </c>
      <c r="D680" s="10">
        <v>264.02999999999997</v>
      </c>
      <c r="E680" s="10">
        <v>272.52999999999997</v>
      </c>
      <c r="F680" s="10">
        <v>9.34</v>
      </c>
      <c r="G680" s="22">
        <f t="shared" si="42"/>
        <v>206.56684999999973</v>
      </c>
      <c r="H680" s="23" t="s">
        <v>686</v>
      </c>
      <c r="I680" s="9"/>
      <c r="K680" s="7">
        <f t="shared" si="48"/>
        <v>272.52999999999997</v>
      </c>
      <c r="L680" s="7">
        <f t="shared" si="41"/>
        <v>272.52999999999997</v>
      </c>
      <c r="M680" s="6"/>
      <c r="R680" s="7"/>
      <c r="S680" s="7"/>
    </row>
    <row r="681" spans="1:19" ht="28" x14ac:dyDescent="0.15">
      <c r="A681" s="24">
        <v>123</v>
      </c>
      <c r="B681" s="9" t="s">
        <v>142</v>
      </c>
      <c r="C681" s="9" t="s">
        <v>19</v>
      </c>
      <c r="D681" s="10">
        <v>140.91</v>
      </c>
      <c r="E681" s="10">
        <v>149.41</v>
      </c>
      <c r="F681" s="10">
        <v>39.22</v>
      </c>
      <c r="G681" s="22">
        <f t="shared" si="42"/>
        <v>206.71625999999972</v>
      </c>
      <c r="H681" s="23" t="s">
        <v>686</v>
      </c>
      <c r="I681" s="9"/>
      <c r="K681" s="7">
        <f t="shared" si="48"/>
        <v>149.41</v>
      </c>
      <c r="L681" s="7">
        <f t="shared" si="41"/>
        <v>149.41</v>
      </c>
      <c r="M681" s="6"/>
      <c r="R681" s="7"/>
      <c r="S681" s="7"/>
    </row>
    <row r="682" spans="1:19" ht="28" x14ac:dyDescent="0.15">
      <c r="A682" s="24">
        <v>124</v>
      </c>
      <c r="B682" s="9" t="s">
        <v>143</v>
      </c>
      <c r="C682" s="9" t="s">
        <v>14</v>
      </c>
      <c r="D682" s="10">
        <v>139.99</v>
      </c>
      <c r="E682" s="10">
        <v>148.49</v>
      </c>
      <c r="F682" s="10">
        <v>20.100000000000001</v>
      </c>
      <c r="G682" s="22">
        <f t="shared" si="42"/>
        <v>206.86474999999973</v>
      </c>
      <c r="H682" s="23" t="s">
        <v>686</v>
      </c>
      <c r="I682" s="9"/>
      <c r="K682" s="7">
        <f t="shared" si="48"/>
        <v>148.49</v>
      </c>
      <c r="L682" s="7">
        <f t="shared" si="41"/>
        <v>148.49</v>
      </c>
      <c r="M682" s="6"/>
      <c r="R682" s="7"/>
      <c r="S682" s="7"/>
    </row>
    <row r="683" spans="1:19" ht="28" x14ac:dyDescent="0.15">
      <c r="A683" s="24">
        <v>125</v>
      </c>
      <c r="B683" s="9" t="s">
        <v>144</v>
      </c>
      <c r="C683" s="9" t="s">
        <v>16</v>
      </c>
      <c r="D683" s="10">
        <v>150.6</v>
      </c>
      <c r="E683" s="10">
        <v>150.6</v>
      </c>
      <c r="F683" s="10">
        <v>9.61</v>
      </c>
      <c r="G683" s="22">
        <f t="shared" si="42"/>
        <v>207.01534999999973</v>
      </c>
      <c r="H683" s="23" t="s">
        <v>686</v>
      </c>
      <c r="I683" s="9"/>
      <c r="K683"/>
      <c r="L683" s="7">
        <f t="shared" si="41"/>
        <v>150.6</v>
      </c>
      <c r="M683" s="6"/>
      <c r="R683" s="7"/>
      <c r="S683" s="7"/>
    </row>
    <row r="684" spans="1:19" ht="28" x14ac:dyDescent="0.15">
      <c r="A684" s="24">
        <v>126</v>
      </c>
      <c r="B684" s="9" t="s">
        <v>145</v>
      </c>
      <c r="C684" s="9" t="s">
        <v>19</v>
      </c>
      <c r="D684" s="10">
        <v>261.86</v>
      </c>
      <c r="E684" s="10">
        <v>270.36</v>
      </c>
      <c r="F684" s="10">
        <v>39.909999999999997</v>
      </c>
      <c r="G684" s="22">
        <f t="shared" si="42"/>
        <v>207.28570999999974</v>
      </c>
      <c r="H684" s="23" t="s">
        <v>686</v>
      </c>
      <c r="I684" s="9"/>
      <c r="K684" s="7">
        <f t="shared" ref="K684:K687" si="49">D684+8.5</f>
        <v>270.36</v>
      </c>
      <c r="L684" s="7">
        <f t="shared" si="41"/>
        <v>270.36</v>
      </c>
      <c r="M684" s="6"/>
      <c r="R684" s="7"/>
      <c r="S684" s="7"/>
    </row>
    <row r="685" spans="1:19" ht="28" x14ac:dyDescent="0.15">
      <c r="A685" s="24">
        <v>127</v>
      </c>
      <c r="B685" s="9" t="s">
        <v>146</v>
      </c>
      <c r="C685" s="9" t="s">
        <v>28</v>
      </c>
      <c r="D685" s="10">
        <v>151.08000000000001</v>
      </c>
      <c r="E685" s="10">
        <v>159.58000000000001</v>
      </c>
      <c r="F685" s="10">
        <v>25.18</v>
      </c>
      <c r="G685" s="22">
        <f t="shared" si="42"/>
        <v>207.44528999999974</v>
      </c>
      <c r="H685" s="23" t="s">
        <v>686</v>
      </c>
      <c r="I685" s="9"/>
      <c r="K685" s="7">
        <f t="shared" si="49"/>
        <v>159.58000000000001</v>
      </c>
      <c r="L685" s="7">
        <f t="shared" si="41"/>
        <v>159.58000000000001</v>
      </c>
      <c r="M685" s="6"/>
      <c r="R685" s="7"/>
      <c r="S685" s="7"/>
    </row>
    <row r="686" spans="1:19" ht="28" x14ac:dyDescent="0.15">
      <c r="A686" s="24">
        <v>128</v>
      </c>
      <c r="B686" s="9" t="s">
        <v>147</v>
      </c>
      <c r="C686" s="9" t="s">
        <v>19</v>
      </c>
      <c r="D686" s="10">
        <v>131.87</v>
      </c>
      <c r="E686" s="10">
        <v>140.37</v>
      </c>
      <c r="F686" s="10">
        <v>36.04</v>
      </c>
      <c r="G686" s="22">
        <f t="shared" si="42"/>
        <v>207.58565999999973</v>
      </c>
      <c r="H686" s="23" t="s">
        <v>686</v>
      </c>
      <c r="I686" s="9"/>
      <c r="K686" s="7">
        <f t="shared" si="49"/>
        <v>140.37</v>
      </c>
      <c r="L686" s="7">
        <f t="shared" si="41"/>
        <v>140.37</v>
      </c>
      <c r="M686" s="6"/>
      <c r="R686" s="7"/>
      <c r="S686" s="7"/>
    </row>
    <row r="687" spans="1:19" ht="28" x14ac:dyDescent="0.15">
      <c r="A687" s="24">
        <v>129</v>
      </c>
      <c r="B687" s="9" t="s">
        <v>148</v>
      </c>
      <c r="C687" s="9" t="s">
        <v>28</v>
      </c>
      <c r="D687" s="10">
        <v>166.8</v>
      </c>
      <c r="E687" s="10">
        <v>175.3</v>
      </c>
      <c r="F687" s="10">
        <v>0</v>
      </c>
      <c r="G687" s="22">
        <f t="shared" si="42"/>
        <v>207.76095999999973</v>
      </c>
      <c r="H687" s="23" t="s">
        <v>686</v>
      </c>
      <c r="I687" s="9"/>
      <c r="K687" s="7">
        <f t="shared" si="49"/>
        <v>175.3</v>
      </c>
      <c r="L687" s="7">
        <f t="shared" si="41"/>
        <v>175.3</v>
      </c>
      <c r="M687" s="6"/>
      <c r="R687" s="7"/>
      <c r="S687" s="7"/>
    </row>
    <row r="688" spans="1:19" x14ac:dyDescent="0.15">
      <c r="L688" s="6"/>
      <c r="M688" s="6"/>
      <c r="R688" s="7"/>
      <c r="S688" s="7"/>
    </row>
    <row r="689" spans="12:19" x14ac:dyDescent="0.15">
      <c r="L689" s="6"/>
      <c r="M689" s="6"/>
      <c r="R689" s="7"/>
      <c r="S689" s="7"/>
    </row>
    <row r="690" spans="12:19" x14ac:dyDescent="0.15">
      <c r="L690" s="6"/>
      <c r="M690" s="6"/>
      <c r="R690" s="7"/>
      <c r="S690" s="7"/>
    </row>
    <row r="691" spans="12:19" x14ac:dyDescent="0.15">
      <c r="L691" s="6"/>
      <c r="M691" s="6"/>
      <c r="R691" s="7"/>
      <c r="S691" s="7"/>
    </row>
    <row r="692" spans="12:19" x14ac:dyDescent="0.15">
      <c r="L692" s="6"/>
      <c r="M692" s="6"/>
      <c r="R692" s="7"/>
      <c r="S692" s="7"/>
    </row>
  </sheetData>
  <autoFilter ref="A1:I687" xr:uid="{06C9B0AD-52BE-2643-B137-39F5DA1CCE9D}"/>
  <mergeCells count="1">
    <mergeCell ref="L1:S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C81E0-598E-42BE-9FA8-A676B59BECCA}">
  <dimension ref="A1:T503"/>
  <sheetViews>
    <sheetView topLeftCell="A308" workbookViewId="0">
      <selection activeCell="E497" sqref="E497"/>
    </sheetView>
  </sheetViews>
  <sheetFormatPr baseColWidth="10" defaultColWidth="8.83203125" defaultRowHeight="13" x14ac:dyDescent="0.15"/>
  <cols>
    <col min="4" max="5" width="12.5" customWidth="1"/>
    <col min="8" max="8" width="13.83203125" bestFit="1" customWidth="1"/>
    <col min="9" max="9" width="12.5" customWidth="1"/>
    <col min="15" max="15" width="13.83203125" bestFit="1" customWidth="1"/>
    <col min="16" max="16" width="64.1640625" bestFit="1" customWidth="1"/>
  </cols>
  <sheetData>
    <row r="1" spans="1:20" ht="57" x14ac:dyDescent="0.2">
      <c r="A1" s="15" t="s">
        <v>0</v>
      </c>
      <c r="B1" s="16" t="s">
        <v>1</v>
      </c>
      <c r="C1" s="16" t="s">
        <v>2</v>
      </c>
      <c r="D1" s="16" t="s">
        <v>3</v>
      </c>
      <c r="E1" s="25" t="s">
        <v>4</v>
      </c>
      <c r="F1" s="16" t="s">
        <v>5</v>
      </c>
      <c r="G1" s="15" t="s">
        <v>6</v>
      </c>
      <c r="H1" s="17" t="s">
        <v>7</v>
      </c>
      <c r="I1" s="15" t="s">
        <v>8</v>
      </c>
    </row>
    <row r="2" spans="1:20" ht="15" x14ac:dyDescent="0.2">
      <c r="A2" s="6">
        <v>0</v>
      </c>
      <c r="B2" t="s">
        <v>693</v>
      </c>
      <c r="C2" t="s">
        <v>10</v>
      </c>
      <c r="D2" s="7">
        <v>36.92</v>
      </c>
      <c r="E2" s="7">
        <v>36.92</v>
      </c>
      <c r="F2" s="6">
        <v>1</v>
      </c>
      <c r="G2">
        <f>E2/1000</f>
        <v>3.6920000000000001E-2</v>
      </c>
      <c r="H2" t="s">
        <v>694</v>
      </c>
      <c r="K2">
        <f>IF(J2&lt;&gt;"",J2,D2)</f>
        <v>36.92</v>
      </c>
      <c r="N2" s="18"/>
      <c r="O2" s="18"/>
      <c r="P2" s="18"/>
      <c r="Q2" s="18"/>
      <c r="R2" s="18"/>
      <c r="S2" s="18"/>
      <c r="T2" s="18"/>
    </row>
    <row r="3" spans="1:20" x14ac:dyDescent="0.15">
      <c r="A3" s="6">
        <v>1</v>
      </c>
      <c r="B3" t="s">
        <v>13</v>
      </c>
      <c r="C3" t="s">
        <v>14</v>
      </c>
      <c r="D3" s="7">
        <v>161.47999999999999</v>
      </c>
      <c r="E3" s="7">
        <v>169.98</v>
      </c>
      <c r="F3" s="7">
        <v>8.2100000000000009</v>
      </c>
      <c r="G3">
        <f>E3/1000+G2</f>
        <v>0.2069</v>
      </c>
      <c r="H3" t="s">
        <v>694</v>
      </c>
      <c r="J3" s="7">
        <f>D3+8.5</f>
        <v>169.98</v>
      </c>
      <c r="K3">
        <f t="shared" ref="K3:K66" si="0">IF(J3&lt;&gt;"",J3,D3)</f>
        <v>169.98</v>
      </c>
    </row>
    <row r="4" spans="1:20" x14ac:dyDescent="0.15">
      <c r="A4" s="6">
        <v>2</v>
      </c>
      <c r="B4" t="s">
        <v>15</v>
      </c>
      <c r="C4" t="s">
        <v>28</v>
      </c>
      <c r="D4" s="7">
        <v>138.97</v>
      </c>
      <c r="E4" s="7">
        <v>147.47</v>
      </c>
      <c r="F4" s="7">
        <v>13.31</v>
      </c>
      <c r="G4">
        <f t="shared" ref="G4:G67" si="1">E4/1000+G3</f>
        <v>0.35436999999999996</v>
      </c>
      <c r="H4" t="s">
        <v>694</v>
      </c>
      <c r="J4" s="7">
        <f t="shared" ref="J4:J7" si="2">D4+8.5</f>
        <v>147.47</v>
      </c>
      <c r="K4">
        <f t="shared" si="0"/>
        <v>147.47</v>
      </c>
    </row>
    <row r="5" spans="1:20" x14ac:dyDescent="0.15">
      <c r="A5" s="6">
        <v>3</v>
      </c>
      <c r="B5" t="s">
        <v>17</v>
      </c>
      <c r="C5" t="s">
        <v>14</v>
      </c>
      <c r="D5" s="7">
        <v>280.39</v>
      </c>
      <c r="E5" s="7">
        <v>288.89</v>
      </c>
      <c r="F5" s="7">
        <v>12.19</v>
      </c>
      <c r="G5">
        <f t="shared" si="1"/>
        <v>0.64325999999999994</v>
      </c>
      <c r="H5" t="s">
        <v>694</v>
      </c>
      <c r="J5" s="7">
        <f t="shared" si="2"/>
        <v>288.89</v>
      </c>
      <c r="K5">
        <f t="shared" si="0"/>
        <v>288.89</v>
      </c>
    </row>
    <row r="6" spans="1:20" x14ac:dyDescent="0.15">
      <c r="A6" s="6">
        <v>4</v>
      </c>
      <c r="B6" t="s">
        <v>18</v>
      </c>
      <c r="C6" t="s">
        <v>28</v>
      </c>
      <c r="D6" s="7">
        <v>323.88</v>
      </c>
      <c r="E6" s="7">
        <v>332.38</v>
      </c>
      <c r="F6" s="7">
        <v>14.57</v>
      </c>
      <c r="G6">
        <f t="shared" si="1"/>
        <v>0.97563999999999995</v>
      </c>
      <c r="H6" t="s">
        <v>694</v>
      </c>
      <c r="J6" s="7">
        <f t="shared" si="2"/>
        <v>332.38</v>
      </c>
      <c r="K6">
        <f t="shared" si="0"/>
        <v>332.38</v>
      </c>
    </row>
    <row r="7" spans="1:20" x14ac:dyDescent="0.15">
      <c r="A7" s="6">
        <v>5</v>
      </c>
      <c r="B7" t="s">
        <v>20</v>
      </c>
      <c r="C7" t="s">
        <v>19</v>
      </c>
      <c r="D7" s="7">
        <v>340.76</v>
      </c>
      <c r="E7" s="7">
        <v>349.26</v>
      </c>
      <c r="F7" s="7">
        <v>10.49</v>
      </c>
      <c r="G7">
        <f t="shared" si="1"/>
        <v>1.3249</v>
      </c>
      <c r="H7" t="s">
        <v>694</v>
      </c>
      <c r="J7" s="7">
        <f t="shared" si="2"/>
        <v>349.26</v>
      </c>
      <c r="K7">
        <f t="shared" si="0"/>
        <v>349.26</v>
      </c>
    </row>
    <row r="8" spans="1:20" x14ac:dyDescent="0.15">
      <c r="A8" s="6">
        <v>6</v>
      </c>
      <c r="B8" t="s">
        <v>21</v>
      </c>
      <c r="C8" t="s">
        <v>16</v>
      </c>
      <c r="D8" s="7">
        <v>397.91</v>
      </c>
      <c r="E8" s="7">
        <v>397.91</v>
      </c>
      <c r="F8" s="7">
        <v>55.07</v>
      </c>
      <c r="G8">
        <f t="shared" si="1"/>
        <v>1.72281</v>
      </c>
      <c r="H8" t="s">
        <v>694</v>
      </c>
      <c r="K8">
        <f t="shared" si="0"/>
        <v>397.91</v>
      </c>
    </row>
    <row r="9" spans="1:20" x14ac:dyDescent="0.15">
      <c r="A9" s="6">
        <v>7</v>
      </c>
      <c r="B9" t="s">
        <v>22</v>
      </c>
      <c r="C9" t="s">
        <v>23</v>
      </c>
      <c r="D9" s="7">
        <v>144.04</v>
      </c>
      <c r="E9" s="7">
        <v>144.04</v>
      </c>
      <c r="F9" s="7">
        <v>3.43</v>
      </c>
      <c r="G9">
        <f t="shared" si="1"/>
        <v>1.8668499999999999</v>
      </c>
      <c r="H9" t="s">
        <v>694</v>
      </c>
      <c r="K9">
        <f t="shared" si="0"/>
        <v>144.04</v>
      </c>
    </row>
    <row r="10" spans="1:20" x14ac:dyDescent="0.15">
      <c r="A10" s="6">
        <v>8</v>
      </c>
      <c r="B10" t="s">
        <v>24</v>
      </c>
      <c r="C10" t="s">
        <v>14</v>
      </c>
      <c r="D10" s="7">
        <v>342.26</v>
      </c>
      <c r="E10" s="7">
        <v>350.76</v>
      </c>
      <c r="F10" s="7">
        <v>42.77</v>
      </c>
      <c r="G10">
        <f t="shared" si="1"/>
        <v>2.2176100000000001</v>
      </c>
      <c r="H10" t="s">
        <v>694</v>
      </c>
      <c r="J10" s="7">
        <f t="shared" ref="J10:J13" si="3">D10+8.5</f>
        <v>350.76</v>
      </c>
      <c r="K10">
        <f t="shared" si="0"/>
        <v>350.76</v>
      </c>
    </row>
    <row r="11" spans="1:20" x14ac:dyDescent="0.15">
      <c r="A11" s="6">
        <v>9</v>
      </c>
      <c r="B11" t="s">
        <v>25</v>
      </c>
      <c r="C11" t="s">
        <v>28</v>
      </c>
      <c r="D11" s="7">
        <v>371.33</v>
      </c>
      <c r="E11" s="7">
        <v>379.83</v>
      </c>
      <c r="F11" s="7">
        <v>13.89</v>
      </c>
      <c r="G11">
        <f t="shared" si="1"/>
        <v>2.5974400000000002</v>
      </c>
      <c r="H11" t="s">
        <v>694</v>
      </c>
      <c r="J11" s="7">
        <f t="shared" si="3"/>
        <v>379.83</v>
      </c>
      <c r="K11">
        <f t="shared" si="0"/>
        <v>379.83</v>
      </c>
    </row>
    <row r="12" spans="1:20" x14ac:dyDescent="0.15">
      <c r="A12" s="6">
        <v>10</v>
      </c>
      <c r="B12" t="s">
        <v>26</v>
      </c>
      <c r="C12" t="s">
        <v>28</v>
      </c>
      <c r="D12" s="7">
        <v>195.47</v>
      </c>
      <c r="E12" s="7">
        <v>203.97</v>
      </c>
      <c r="F12" s="7">
        <v>4.2</v>
      </c>
      <c r="G12">
        <f t="shared" si="1"/>
        <v>2.8014100000000002</v>
      </c>
      <c r="H12" t="s">
        <v>694</v>
      </c>
      <c r="J12" s="7">
        <f t="shared" si="3"/>
        <v>203.97</v>
      </c>
      <c r="K12">
        <f t="shared" si="0"/>
        <v>203.97</v>
      </c>
    </row>
    <row r="13" spans="1:20" x14ac:dyDescent="0.15">
      <c r="A13" s="6">
        <v>11</v>
      </c>
      <c r="B13" t="s">
        <v>27</v>
      </c>
      <c r="C13" t="s">
        <v>14</v>
      </c>
      <c r="D13" s="7">
        <v>164.99</v>
      </c>
      <c r="E13" s="7">
        <v>173.49</v>
      </c>
      <c r="F13" s="7">
        <v>11.18</v>
      </c>
      <c r="G13">
        <f t="shared" si="1"/>
        <v>2.9749000000000003</v>
      </c>
      <c r="H13" t="s">
        <v>694</v>
      </c>
      <c r="J13" s="7">
        <f t="shared" si="3"/>
        <v>173.49</v>
      </c>
      <c r="K13">
        <f t="shared" si="0"/>
        <v>173.49</v>
      </c>
    </row>
    <row r="14" spans="1:20" x14ac:dyDescent="0.15">
      <c r="A14" s="6">
        <v>12</v>
      </c>
      <c r="B14" t="s">
        <v>29</v>
      </c>
      <c r="C14" t="s">
        <v>16</v>
      </c>
      <c r="D14" s="7">
        <v>272.91000000000003</v>
      </c>
      <c r="E14" s="7">
        <v>272.91000000000003</v>
      </c>
      <c r="F14" s="7">
        <v>1.58</v>
      </c>
      <c r="G14">
        <f t="shared" si="1"/>
        <v>3.2478100000000003</v>
      </c>
      <c r="H14" t="s">
        <v>694</v>
      </c>
      <c r="K14">
        <f t="shared" si="0"/>
        <v>272.91000000000003</v>
      </c>
    </row>
    <row r="15" spans="1:20" x14ac:dyDescent="0.15">
      <c r="A15" s="6">
        <v>13</v>
      </c>
      <c r="B15" t="s">
        <v>30</v>
      </c>
      <c r="C15" t="s">
        <v>19</v>
      </c>
      <c r="D15" s="7">
        <v>261.58</v>
      </c>
      <c r="E15" s="7">
        <v>270.08</v>
      </c>
      <c r="F15" s="7">
        <v>7.58</v>
      </c>
      <c r="G15">
        <f t="shared" si="1"/>
        <v>3.5178900000000004</v>
      </c>
      <c r="H15" t="s">
        <v>694</v>
      </c>
      <c r="J15" s="7">
        <f>D15+8.5</f>
        <v>270.08</v>
      </c>
      <c r="K15">
        <f t="shared" si="0"/>
        <v>270.08</v>
      </c>
    </row>
    <row r="16" spans="1:20" x14ac:dyDescent="0.15">
      <c r="A16" s="6">
        <v>14</v>
      </c>
      <c r="B16" t="s">
        <v>31</v>
      </c>
      <c r="C16" t="s">
        <v>16</v>
      </c>
      <c r="D16" s="7">
        <v>194.65</v>
      </c>
      <c r="E16" s="7">
        <v>194.65</v>
      </c>
      <c r="F16" s="7">
        <v>52.16</v>
      </c>
      <c r="G16">
        <f t="shared" si="1"/>
        <v>3.7125400000000006</v>
      </c>
      <c r="H16" t="s">
        <v>694</v>
      </c>
      <c r="K16">
        <f t="shared" si="0"/>
        <v>194.65</v>
      </c>
    </row>
    <row r="17" spans="1:11" x14ac:dyDescent="0.15">
      <c r="A17" s="6">
        <v>15</v>
      </c>
      <c r="B17" t="s">
        <v>32</v>
      </c>
      <c r="C17" t="s">
        <v>23</v>
      </c>
      <c r="D17" s="7">
        <v>304.02</v>
      </c>
      <c r="E17" s="7">
        <v>304.02</v>
      </c>
      <c r="F17" s="7">
        <v>3.15</v>
      </c>
      <c r="G17">
        <f t="shared" si="1"/>
        <v>4.0165600000000001</v>
      </c>
      <c r="H17" t="s">
        <v>694</v>
      </c>
      <c r="K17">
        <f t="shared" si="0"/>
        <v>304.02</v>
      </c>
    </row>
    <row r="18" spans="1:11" x14ac:dyDescent="0.15">
      <c r="A18" s="6">
        <v>16</v>
      </c>
      <c r="B18" t="s">
        <v>33</v>
      </c>
      <c r="C18" t="s">
        <v>23</v>
      </c>
      <c r="D18" s="7">
        <v>271.07</v>
      </c>
      <c r="E18" s="7">
        <v>271.07</v>
      </c>
      <c r="F18" s="7">
        <v>6.16</v>
      </c>
      <c r="G18">
        <f t="shared" si="1"/>
        <v>4.2876300000000001</v>
      </c>
      <c r="H18" t="s">
        <v>694</v>
      </c>
      <c r="K18">
        <f t="shared" si="0"/>
        <v>271.07</v>
      </c>
    </row>
    <row r="19" spans="1:11" x14ac:dyDescent="0.15">
      <c r="A19" s="6">
        <v>17</v>
      </c>
      <c r="B19" t="s">
        <v>34</v>
      </c>
      <c r="C19" t="s">
        <v>19</v>
      </c>
      <c r="D19" s="7">
        <v>161.11000000000001</v>
      </c>
      <c r="E19" s="7">
        <v>169.61</v>
      </c>
      <c r="F19" s="7">
        <v>18.39</v>
      </c>
      <c r="G19">
        <f t="shared" si="1"/>
        <v>4.4572399999999996</v>
      </c>
      <c r="H19" t="s">
        <v>694</v>
      </c>
      <c r="J19" s="7">
        <f t="shared" ref="J19:J21" si="4">D19+8.5</f>
        <v>169.61</v>
      </c>
      <c r="K19">
        <f t="shared" si="0"/>
        <v>169.61</v>
      </c>
    </row>
    <row r="20" spans="1:11" x14ac:dyDescent="0.15">
      <c r="A20" s="6">
        <v>18</v>
      </c>
      <c r="B20" t="s">
        <v>35</v>
      </c>
      <c r="C20" t="s">
        <v>28</v>
      </c>
      <c r="D20" s="7">
        <v>180.82</v>
      </c>
      <c r="E20" s="7">
        <v>189.32</v>
      </c>
      <c r="F20" s="7">
        <v>9.14</v>
      </c>
      <c r="G20">
        <f t="shared" si="1"/>
        <v>4.64656</v>
      </c>
      <c r="H20" t="s">
        <v>694</v>
      </c>
      <c r="J20" s="7">
        <f t="shared" si="4"/>
        <v>189.32</v>
      </c>
      <c r="K20">
        <f t="shared" si="0"/>
        <v>189.32</v>
      </c>
    </row>
    <row r="21" spans="1:11" x14ac:dyDescent="0.15">
      <c r="A21" s="6">
        <v>19</v>
      </c>
      <c r="B21" t="s">
        <v>36</v>
      </c>
      <c r="C21" t="s">
        <v>28</v>
      </c>
      <c r="D21" s="7">
        <v>257.39999999999998</v>
      </c>
      <c r="E21" s="7">
        <v>265.89999999999998</v>
      </c>
      <c r="F21" s="7">
        <v>14.56</v>
      </c>
      <c r="G21">
        <f t="shared" si="1"/>
        <v>4.9124600000000003</v>
      </c>
      <c r="H21" t="s">
        <v>694</v>
      </c>
      <c r="J21" s="7">
        <f t="shared" si="4"/>
        <v>265.89999999999998</v>
      </c>
      <c r="K21">
        <f t="shared" si="0"/>
        <v>265.89999999999998</v>
      </c>
    </row>
    <row r="22" spans="1:11" x14ac:dyDescent="0.15">
      <c r="A22" s="6">
        <v>20</v>
      </c>
      <c r="B22" t="s">
        <v>37</v>
      </c>
      <c r="C22" t="s">
        <v>23</v>
      </c>
      <c r="D22" s="7">
        <v>400.06</v>
      </c>
      <c r="E22" s="7">
        <v>400.06</v>
      </c>
      <c r="F22" s="7">
        <v>5.53</v>
      </c>
      <c r="G22">
        <f t="shared" si="1"/>
        <v>5.3125200000000001</v>
      </c>
      <c r="H22" t="s">
        <v>694</v>
      </c>
      <c r="K22">
        <f t="shared" si="0"/>
        <v>400.06</v>
      </c>
    </row>
    <row r="23" spans="1:11" x14ac:dyDescent="0.15">
      <c r="A23" s="6">
        <v>21</v>
      </c>
      <c r="B23" t="s">
        <v>38</v>
      </c>
      <c r="C23" t="s">
        <v>23</v>
      </c>
      <c r="D23" s="7">
        <v>241.55</v>
      </c>
      <c r="E23" s="7">
        <v>241.55</v>
      </c>
      <c r="F23" s="7">
        <v>1.1399999999999999</v>
      </c>
      <c r="G23">
        <f t="shared" si="1"/>
        <v>5.5540700000000003</v>
      </c>
      <c r="H23" t="s">
        <v>694</v>
      </c>
      <c r="K23">
        <f t="shared" si="0"/>
        <v>241.55</v>
      </c>
    </row>
    <row r="24" spans="1:11" x14ac:dyDescent="0.15">
      <c r="A24" s="6">
        <v>22</v>
      </c>
      <c r="B24" t="s">
        <v>39</v>
      </c>
      <c r="C24" t="s">
        <v>28</v>
      </c>
      <c r="D24" s="7">
        <v>287.22000000000003</v>
      </c>
      <c r="E24" s="7">
        <v>295.72000000000003</v>
      </c>
      <c r="F24" s="7">
        <v>10.02</v>
      </c>
      <c r="G24">
        <f t="shared" si="1"/>
        <v>5.8497900000000005</v>
      </c>
      <c r="H24" t="s">
        <v>694</v>
      </c>
      <c r="J24" s="7">
        <f t="shared" ref="J24:J25" si="5">D24+8.5</f>
        <v>295.72000000000003</v>
      </c>
      <c r="K24">
        <f t="shared" si="0"/>
        <v>295.72000000000003</v>
      </c>
    </row>
    <row r="25" spans="1:11" x14ac:dyDescent="0.15">
      <c r="A25" s="6">
        <v>23</v>
      </c>
      <c r="B25" t="s">
        <v>40</v>
      </c>
      <c r="C25" t="s">
        <v>28</v>
      </c>
      <c r="D25" s="7">
        <v>375.32</v>
      </c>
      <c r="E25" s="7">
        <v>383.82</v>
      </c>
      <c r="F25" s="7">
        <v>12.48</v>
      </c>
      <c r="G25">
        <f t="shared" si="1"/>
        <v>6.2336100000000005</v>
      </c>
      <c r="H25" t="s">
        <v>694</v>
      </c>
      <c r="J25" s="7">
        <f t="shared" si="5"/>
        <v>383.82</v>
      </c>
      <c r="K25">
        <f t="shared" si="0"/>
        <v>383.82</v>
      </c>
    </row>
    <row r="26" spans="1:11" x14ac:dyDescent="0.15">
      <c r="A26" s="6">
        <v>24</v>
      </c>
      <c r="B26" t="s">
        <v>41</v>
      </c>
      <c r="C26" t="s">
        <v>16</v>
      </c>
      <c r="D26" s="7">
        <v>298.97000000000003</v>
      </c>
      <c r="E26" s="7">
        <v>298.97000000000003</v>
      </c>
      <c r="F26" s="7">
        <v>40.78</v>
      </c>
      <c r="G26">
        <f t="shared" si="1"/>
        <v>6.5325800000000003</v>
      </c>
      <c r="H26" t="s">
        <v>694</v>
      </c>
      <c r="K26">
        <f t="shared" si="0"/>
        <v>298.97000000000003</v>
      </c>
    </row>
    <row r="27" spans="1:11" x14ac:dyDescent="0.15">
      <c r="A27" s="6">
        <v>25</v>
      </c>
      <c r="B27" t="s">
        <v>42</v>
      </c>
      <c r="C27" t="s">
        <v>28</v>
      </c>
      <c r="D27" s="7">
        <v>349.08</v>
      </c>
      <c r="E27" s="7">
        <v>357.58</v>
      </c>
      <c r="F27" s="7">
        <v>3.98</v>
      </c>
      <c r="G27">
        <f t="shared" si="1"/>
        <v>6.8901599999999998</v>
      </c>
      <c r="H27" t="s">
        <v>694</v>
      </c>
      <c r="J27" s="7">
        <f>D27+8.5</f>
        <v>357.58</v>
      </c>
      <c r="K27">
        <f t="shared" si="0"/>
        <v>357.58</v>
      </c>
    </row>
    <row r="28" spans="1:11" x14ac:dyDescent="0.15">
      <c r="A28" s="6">
        <v>26</v>
      </c>
      <c r="B28" t="s">
        <v>43</v>
      </c>
      <c r="C28" t="s">
        <v>23</v>
      </c>
      <c r="D28" s="7">
        <v>349.49</v>
      </c>
      <c r="E28" s="7">
        <v>349.49</v>
      </c>
      <c r="F28" s="7">
        <v>2.42</v>
      </c>
      <c r="G28">
        <f t="shared" si="1"/>
        <v>7.2396500000000001</v>
      </c>
      <c r="H28" t="s">
        <v>694</v>
      </c>
      <c r="K28">
        <f t="shared" si="0"/>
        <v>349.49</v>
      </c>
    </row>
    <row r="29" spans="1:11" x14ac:dyDescent="0.15">
      <c r="A29" s="6">
        <v>27</v>
      </c>
      <c r="B29" t="s">
        <v>44</v>
      </c>
      <c r="C29" t="s">
        <v>28</v>
      </c>
      <c r="D29" s="7">
        <v>268.74</v>
      </c>
      <c r="E29" s="7">
        <v>277.24</v>
      </c>
      <c r="F29" s="7">
        <v>2.52</v>
      </c>
      <c r="G29">
        <f t="shared" si="1"/>
        <v>7.5168900000000001</v>
      </c>
      <c r="H29" t="s">
        <v>694</v>
      </c>
      <c r="J29" s="7">
        <f>D29+8.5</f>
        <v>277.24</v>
      </c>
      <c r="K29">
        <f t="shared" si="0"/>
        <v>277.24</v>
      </c>
    </row>
    <row r="30" spans="1:11" x14ac:dyDescent="0.15">
      <c r="A30" s="6">
        <v>28</v>
      </c>
      <c r="B30" t="s">
        <v>45</v>
      </c>
      <c r="C30" t="s">
        <v>23</v>
      </c>
      <c r="D30" s="7">
        <v>298.14</v>
      </c>
      <c r="E30" s="7">
        <v>298.14</v>
      </c>
      <c r="F30" s="7">
        <v>1</v>
      </c>
      <c r="G30">
        <f t="shared" si="1"/>
        <v>7.8150300000000001</v>
      </c>
      <c r="H30" t="s">
        <v>694</v>
      </c>
      <c r="K30">
        <f t="shared" si="0"/>
        <v>298.14</v>
      </c>
    </row>
    <row r="31" spans="1:11" x14ac:dyDescent="0.15">
      <c r="A31" s="6">
        <v>29</v>
      </c>
      <c r="B31" t="s">
        <v>46</v>
      </c>
      <c r="C31" t="s">
        <v>23</v>
      </c>
      <c r="D31" s="7">
        <v>311.52999999999997</v>
      </c>
      <c r="E31" s="7">
        <v>311.52999999999997</v>
      </c>
      <c r="F31" s="7">
        <v>0.55000000000000004</v>
      </c>
      <c r="G31">
        <f t="shared" si="1"/>
        <v>8.1265599999999996</v>
      </c>
      <c r="H31" t="s">
        <v>694</v>
      </c>
      <c r="K31">
        <f t="shared" si="0"/>
        <v>311.52999999999997</v>
      </c>
    </row>
    <row r="32" spans="1:11" x14ac:dyDescent="0.15">
      <c r="A32" s="6">
        <v>30</v>
      </c>
      <c r="B32" t="s">
        <v>47</v>
      </c>
      <c r="C32" t="s">
        <v>23</v>
      </c>
      <c r="D32" s="7">
        <v>256.02999999999997</v>
      </c>
      <c r="E32" s="7">
        <v>256.02999999999997</v>
      </c>
      <c r="F32" s="7">
        <v>0.06</v>
      </c>
      <c r="G32">
        <f t="shared" si="1"/>
        <v>8.3825900000000004</v>
      </c>
      <c r="H32" t="s">
        <v>694</v>
      </c>
      <c r="K32">
        <f t="shared" si="0"/>
        <v>256.02999999999997</v>
      </c>
    </row>
    <row r="33" spans="1:11" x14ac:dyDescent="0.15">
      <c r="A33" s="6">
        <v>31</v>
      </c>
      <c r="B33" t="s">
        <v>48</v>
      </c>
      <c r="C33" t="s">
        <v>19</v>
      </c>
      <c r="D33" s="7">
        <v>216.57</v>
      </c>
      <c r="E33" s="7">
        <v>225.07</v>
      </c>
      <c r="F33" s="7">
        <v>16.52</v>
      </c>
      <c r="G33">
        <f t="shared" si="1"/>
        <v>8.607660000000001</v>
      </c>
      <c r="H33" t="s">
        <v>694</v>
      </c>
      <c r="J33" s="7">
        <f t="shared" ref="J33:J34" si="6">D33+8.5</f>
        <v>225.07</v>
      </c>
      <c r="K33">
        <f t="shared" si="0"/>
        <v>225.07</v>
      </c>
    </row>
    <row r="34" spans="1:11" x14ac:dyDescent="0.15">
      <c r="A34" s="6">
        <v>32</v>
      </c>
      <c r="B34" t="s">
        <v>49</v>
      </c>
      <c r="C34" t="s">
        <v>19</v>
      </c>
      <c r="D34" s="7">
        <v>296.69</v>
      </c>
      <c r="E34" s="7">
        <v>305.19</v>
      </c>
      <c r="F34" s="7">
        <v>50.04</v>
      </c>
      <c r="G34">
        <f t="shared" si="1"/>
        <v>8.9128500000000006</v>
      </c>
      <c r="H34" t="s">
        <v>694</v>
      </c>
      <c r="J34" s="7">
        <f t="shared" si="6"/>
        <v>305.19</v>
      </c>
      <c r="K34">
        <f t="shared" si="0"/>
        <v>305.19</v>
      </c>
    </row>
    <row r="35" spans="1:11" x14ac:dyDescent="0.15">
      <c r="A35" s="6">
        <v>33</v>
      </c>
      <c r="B35" t="s">
        <v>50</v>
      </c>
      <c r="C35" t="s">
        <v>23</v>
      </c>
      <c r="D35" s="7">
        <v>285.58999999999997</v>
      </c>
      <c r="E35" s="7">
        <v>285.58999999999997</v>
      </c>
      <c r="F35" s="7">
        <v>0.9</v>
      </c>
      <c r="G35">
        <f t="shared" si="1"/>
        <v>9.1984399999999997</v>
      </c>
      <c r="H35" t="s">
        <v>694</v>
      </c>
      <c r="K35">
        <f t="shared" si="0"/>
        <v>285.58999999999997</v>
      </c>
    </row>
    <row r="36" spans="1:11" x14ac:dyDescent="0.15">
      <c r="A36" s="6">
        <v>34</v>
      </c>
      <c r="B36" t="s">
        <v>51</v>
      </c>
      <c r="C36" t="s">
        <v>23</v>
      </c>
      <c r="D36" s="7">
        <v>359.56</v>
      </c>
      <c r="E36" s="7">
        <v>359.56</v>
      </c>
      <c r="F36" s="7">
        <v>1.1599999999999999</v>
      </c>
      <c r="G36">
        <f t="shared" si="1"/>
        <v>9.5579999999999998</v>
      </c>
      <c r="H36" t="s">
        <v>694</v>
      </c>
      <c r="K36">
        <f t="shared" si="0"/>
        <v>359.56</v>
      </c>
    </row>
    <row r="37" spans="1:11" x14ac:dyDescent="0.15">
      <c r="A37" s="6">
        <v>35</v>
      </c>
      <c r="B37" t="s">
        <v>52</v>
      </c>
      <c r="C37" t="s">
        <v>23</v>
      </c>
      <c r="D37" s="7">
        <v>332.35</v>
      </c>
      <c r="E37" s="7">
        <v>332.35</v>
      </c>
      <c r="F37" s="7">
        <v>2.0699999999999998</v>
      </c>
      <c r="G37">
        <f t="shared" si="1"/>
        <v>9.8903499999999998</v>
      </c>
      <c r="H37" t="s">
        <v>694</v>
      </c>
      <c r="K37">
        <f t="shared" si="0"/>
        <v>332.35</v>
      </c>
    </row>
    <row r="38" spans="1:11" x14ac:dyDescent="0.15">
      <c r="A38" s="6">
        <v>36</v>
      </c>
      <c r="B38" t="s">
        <v>53</v>
      </c>
      <c r="C38" t="s">
        <v>23</v>
      </c>
      <c r="D38" s="7">
        <v>228.23</v>
      </c>
      <c r="E38" s="7">
        <v>228.23</v>
      </c>
      <c r="F38" s="7">
        <v>2.23</v>
      </c>
      <c r="G38">
        <f t="shared" si="1"/>
        <v>10.11858</v>
      </c>
      <c r="H38" t="s">
        <v>694</v>
      </c>
      <c r="K38">
        <f t="shared" si="0"/>
        <v>228.23</v>
      </c>
    </row>
    <row r="39" spans="1:11" x14ac:dyDescent="0.15">
      <c r="A39" s="6">
        <v>37</v>
      </c>
      <c r="B39" t="s">
        <v>54</v>
      </c>
      <c r="C39" t="s">
        <v>23</v>
      </c>
      <c r="D39" s="7">
        <v>305.48</v>
      </c>
      <c r="E39" s="7">
        <v>305.48</v>
      </c>
      <c r="F39" s="7">
        <v>4.4800000000000004</v>
      </c>
      <c r="G39">
        <f t="shared" si="1"/>
        <v>10.424059999999999</v>
      </c>
      <c r="H39" t="s">
        <v>694</v>
      </c>
      <c r="K39">
        <f t="shared" si="0"/>
        <v>305.48</v>
      </c>
    </row>
    <row r="40" spans="1:11" x14ac:dyDescent="0.15">
      <c r="A40" s="6">
        <v>38</v>
      </c>
      <c r="B40" t="s">
        <v>55</v>
      </c>
      <c r="C40" t="s">
        <v>23</v>
      </c>
      <c r="D40" s="7">
        <v>344.02</v>
      </c>
      <c r="E40" s="7">
        <v>344.02</v>
      </c>
      <c r="F40" s="7">
        <v>2.0299999999999998</v>
      </c>
      <c r="G40">
        <f t="shared" si="1"/>
        <v>10.768079999999999</v>
      </c>
      <c r="H40" t="s">
        <v>694</v>
      </c>
      <c r="K40">
        <f t="shared" si="0"/>
        <v>344.02</v>
      </c>
    </row>
    <row r="41" spans="1:11" x14ac:dyDescent="0.15">
      <c r="A41" s="6">
        <v>39</v>
      </c>
      <c r="B41" t="s">
        <v>56</v>
      </c>
      <c r="C41" t="s">
        <v>28</v>
      </c>
      <c r="D41" s="7">
        <v>319.37</v>
      </c>
      <c r="E41" s="7">
        <v>327.87</v>
      </c>
      <c r="F41" s="7">
        <v>3.52</v>
      </c>
      <c r="G41">
        <f t="shared" si="1"/>
        <v>11.09595</v>
      </c>
      <c r="H41" t="s">
        <v>694</v>
      </c>
      <c r="J41" s="7">
        <f>D41+8.5</f>
        <v>327.87</v>
      </c>
      <c r="K41">
        <f t="shared" si="0"/>
        <v>327.87</v>
      </c>
    </row>
    <row r="42" spans="1:11" x14ac:dyDescent="0.15">
      <c r="A42" s="6">
        <v>40</v>
      </c>
      <c r="B42" t="s">
        <v>57</v>
      </c>
      <c r="C42" t="s">
        <v>23</v>
      </c>
      <c r="D42" s="7">
        <v>375.15</v>
      </c>
      <c r="E42" s="7">
        <v>375.15</v>
      </c>
      <c r="F42" s="7">
        <v>5.65</v>
      </c>
      <c r="G42">
        <f t="shared" si="1"/>
        <v>11.4711</v>
      </c>
      <c r="H42" t="s">
        <v>694</v>
      </c>
      <c r="K42">
        <f t="shared" si="0"/>
        <v>375.15</v>
      </c>
    </row>
    <row r="43" spans="1:11" x14ac:dyDescent="0.15">
      <c r="A43" s="6">
        <v>41</v>
      </c>
      <c r="B43" t="s">
        <v>58</v>
      </c>
      <c r="C43" t="s">
        <v>23</v>
      </c>
      <c r="D43" s="7">
        <v>283.68</v>
      </c>
      <c r="E43" s="7">
        <v>283.68</v>
      </c>
      <c r="F43" s="7">
        <v>1.04</v>
      </c>
      <c r="G43">
        <f t="shared" si="1"/>
        <v>11.75478</v>
      </c>
      <c r="H43" t="s">
        <v>694</v>
      </c>
      <c r="K43">
        <f t="shared" si="0"/>
        <v>283.68</v>
      </c>
    </row>
    <row r="44" spans="1:11" x14ac:dyDescent="0.15">
      <c r="A44" s="6">
        <v>42</v>
      </c>
      <c r="B44" t="s">
        <v>59</v>
      </c>
      <c r="C44" t="s">
        <v>28</v>
      </c>
      <c r="D44" s="7">
        <v>351.12</v>
      </c>
      <c r="E44" s="7">
        <v>359.62</v>
      </c>
      <c r="F44" s="7">
        <v>15.25</v>
      </c>
      <c r="G44">
        <f t="shared" si="1"/>
        <v>12.1144</v>
      </c>
      <c r="H44" t="s">
        <v>694</v>
      </c>
      <c r="J44" s="7">
        <f>D44+8.5</f>
        <v>359.62</v>
      </c>
      <c r="K44">
        <f t="shared" si="0"/>
        <v>359.62</v>
      </c>
    </row>
    <row r="45" spans="1:11" x14ac:dyDescent="0.15">
      <c r="A45" s="6">
        <v>43</v>
      </c>
      <c r="B45" t="s">
        <v>60</v>
      </c>
      <c r="C45" t="s">
        <v>23</v>
      </c>
      <c r="D45" s="7">
        <v>326.39999999999998</v>
      </c>
      <c r="E45" s="7">
        <v>326.39999999999998</v>
      </c>
      <c r="F45" s="7">
        <v>1.45</v>
      </c>
      <c r="G45">
        <f t="shared" si="1"/>
        <v>12.440799999999999</v>
      </c>
      <c r="H45" t="s">
        <v>694</v>
      </c>
      <c r="K45">
        <f t="shared" si="0"/>
        <v>326.39999999999998</v>
      </c>
    </row>
    <row r="46" spans="1:11" x14ac:dyDescent="0.15">
      <c r="A46" s="6">
        <v>44</v>
      </c>
      <c r="B46" t="s">
        <v>61</v>
      </c>
      <c r="C46" t="s">
        <v>23</v>
      </c>
      <c r="D46" s="7">
        <v>354.83</v>
      </c>
      <c r="E46" s="7">
        <v>354.83</v>
      </c>
      <c r="F46" s="7">
        <v>0.91</v>
      </c>
      <c r="G46">
        <f t="shared" si="1"/>
        <v>12.795629999999999</v>
      </c>
      <c r="H46" t="s">
        <v>694</v>
      </c>
      <c r="K46">
        <f t="shared" si="0"/>
        <v>354.83</v>
      </c>
    </row>
    <row r="47" spans="1:11" x14ac:dyDescent="0.15">
      <c r="A47" s="6">
        <v>45</v>
      </c>
      <c r="B47" t="s">
        <v>62</v>
      </c>
      <c r="C47" t="s">
        <v>19</v>
      </c>
      <c r="D47" s="7">
        <v>269.55</v>
      </c>
      <c r="E47" s="7">
        <v>278.05</v>
      </c>
      <c r="F47" s="7">
        <v>19.02</v>
      </c>
      <c r="G47">
        <f t="shared" si="1"/>
        <v>13.07368</v>
      </c>
      <c r="H47" t="s">
        <v>694</v>
      </c>
      <c r="J47" s="7">
        <f t="shared" ref="J47:J51" si="7">D47+8.5</f>
        <v>278.05</v>
      </c>
      <c r="K47">
        <f t="shared" si="0"/>
        <v>278.05</v>
      </c>
    </row>
    <row r="48" spans="1:11" x14ac:dyDescent="0.15">
      <c r="A48" s="6">
        <v>46</v>
      </c>
      <c r="B48" t="s">
        <v>63</v>
      </c>
      <c r="C48" t="s">
        <v>19</v>
      </c>
      <c r="D48" s="7">
        <v>361.56</v>
      </c>
      <c r="E48" s="7">
        <v>370.06</v>
      </c>
      <c r="F48" s="7">
        <v>8.8000000000000007</v>
      </c>
      <c r="G48">
        <f t="shared" si="1"/>
        <v>13.44374</v>
      </c>
      <c r="H48" t="s">
        <v>694</v>
      </c>
      <c r="J48" s="7">
        <f t="shared" si="7"/>
        <v>370.06</v>
      </c>
      <c r="K48">
        <f t="shared" si="0"/>
        <v>370.06</v>
      </c>
    </row>
    <row r="49" spans="1:11" x14ac:dyDescent="0.15">
      <c r="A49" s="6">
        <v>47</v>
      </c>
      <c r="B49" t="s">
        <v>64</v>
      </c>
      <c r="C49" t="s">
        <v>28</v>
      </c>
      <c r="D49" s="7">
        <v>348.38</v>
      </c>
      <c r="E49" s="7">
        <v>356.88</v>
      </c>
      <c r="F49" s="7">
        <v>14.42</v>
      </c>
      <c r="G49">
        <f t="shared" si="1"/>
        <v>13.80062</v>
      </c>
      <c r="H49" t="s">
        <v>694</v>
      </c>
      <c r="J49" s="7">
        <f t="shared" si="7"/>
        <v>356.88</v>
      </c>
      <c r="K49">
        <f t="shared" si="0"/>
        <v>356.88</v>
      </c>
    </row>
    <row r="50" spans="1:11" x14ac:dyDescent="0.15">
      <c r="A50" s="6">
        <v>48</v>
      </c>
      <c r="B50" t="s">
        <v>65</v>
      </c>
      <c r="C50" t="s">
        <v>14</v>
      </c>
      <c r="D50" s="7">
        <v>362.82</v>
      </c>
      <c r="E50" s="7">
        <v>371.32</v>
      </c>
      <c r="F50" s="7">
        <v>49.79</v>
      </c>
      <c r="G50">
        <f t="shared" si="1"/>
        <v>14.171940000000001</v>
      </c>
      <c r="H50" t="s">
        <v>694</v>
      </c>
      <c r="J50" s="7">
        <f t="shared" si="7"/>
        <v>371.32</v>
      </c>
      <c r="K50">
        <f t="shared" si="0"/>
        <v>371.32</v>
      </c>
    </row>
    <row r="51" spans="1:11" x14ac:dyDescent="0.15">
      <c r="A51" s="6">
        <v>49</v>
      </c>
      <c r="B51" t="s">
        <v>66</v>
      </c>
      <c r="C51" t="s">
        <v>19</v>
      </c>
      <c r="D51" s="7">
        <v>315.33</v>
      </c>
      <c r="E51" s="7">
        <v>323.83</v>
      </c>
      <c r="F51" s="7">
        <v>24.12</v>
      </c>
      <c r="G51">
        <f t="shared" si="1"/>
        <v>14.49577</v>
      </c>
      <c r="H51" t="s">
        <v>694</v>
      </c>
      <c r="J51" s="7">
        <f t="shared" si="7"/>
        <v>323.83</v>
      </c>
      <c r="K51">
        <f t="shared" si="0"/>
        <v>323.83</v>
      </c>
    </row>
    <row r="52" spans="1:11" x14ac:dyDescent="0.15">
      <c r="A52" s="6">
        <v>50</v>
      </c>
      <c r="B52" t="s">
        <v>67</v>
      </c>
      <c r="C52" t="s">
        <v>23</v>
      </c>
      <c r="D52" s="7">
        <v>370.38</v>
      </c>
      <c r="E52" s="7">
        <v>370.38</v>
      </c>
      <c r="F52" s="7">
        <v>0.97</v>
      </c>
      <c r="G52">
        <f t="shared" si="1"/>
        <v>14.866150000000001</v>
      </c>
      <c r="H52" t="s">
        <v>694</v>
      </c>
      <c r="K52">
        <f t="shared" si="0"/>
        <v>370.38</v>
      </c>
    </row>
    <row r="53" spans="1:11" x14ac:dyDescent="0.15">
      <c r="A53" s="6">
        <v>51</v>
      </c>
      <c r="B53" t="s">
        <v>68</v>
      </c>
      <c r="C53" t="s">
        <v>23</v>
      </c>
      <c r="D53" s="7">
        <v>334.89</v>
      </c>
      <c r="E53" s="7">
        <v>334.89</v>
      </c>
      <c r="F53" s="7">
        <v>0.75</v>
      </c>
      <c r="G53">
        <f t="shared" si="1"/>
        <v>15.201040000000001</v>
      </c>
      <c r="H53" t="s">
        <v>694</v>
      </c>
      <c r="K53">
        <f t="shared" si="0"/>
        <v>334.89</v>
      </c>
    </row>
    <row r="54" spans="1:11" x14ac:dyDescent="0.15">
      <c r="A54" s="6">
        <v>52</v>
      </c>
      <c r="B54" t="s">
        <v>69</v>
      </c>
      <c r="C54" t="s">
        <v>23</v>
      </c>
      <c r="D54" s="7">
        <v>351.99</v>
      </c>
      <c r="E54" s="7">
        <v>351.99</v>
      </c>
      <c r="F54" s="7">
        <v>2.78</v>
      </c>
      <c r="G54">
        <f t="shared" si="1"/>
        <v>15.553030000000001</v>
      </c>
      <c r="H54" t="s">
        <v>694</v>
      </c>
      <c r="K54">
        <f t="shared" si="0"/>
        <v>351.99</v>
      </c>
    </row>
    <row r="55" spans="1:11" x14ac:dyDescent="0.15">
      <c r="A55" s="6">
        <v>53</v>
      </c>
      <c r="B55" t="s">
        <v>70</v>
      </c>
      <c r="C55" t="s">
        <v>23</v>
      </c>
      <c r="D55" s="7">
        <v>327.91</v>
      </c>
      <c r="E55" s="7">
        <v>327.91</v>
      </c>
      <c r="F55" s="7">
        <v>3.83</v>
      </c>
      <c r="G55">
        <f t="shared" si="1"/>
        <v>15.880940000000001</v>
      </c>
      <c r="H55" t="s">
        <v>694</v>
      </c>
      <c r="K55">
        <f t="shared" si="0"/>
        <v>327.91</v>
      </c>
    </row>
    <row r="56" spans="1:11" x14ac:dyDescent="0.15">
      <c r="A56" s="6">
        <v>54</v>
      </c>
      <c r="B56" t="s">
        <v>71</v>
      </c>
      <c r="C56" t="s">
        <v>14</v>
      </c>
      <c r="D56" s="7">
        <v>203.21</v>
      </c>
      <c r="E56" s="7">
        <v>211.71</v>
      </c>
      <c r="F56" s="7">
        <v>46.55</v>
      </c>
      <c r="G56">
        <f t="shared" si="1"/>
        <v>16.092649999999999</v>
      </c>
      <c r="H56" t="s">
        <v>694</v>
      </c>
      <c r="J56" s="7">
        <f>D56+8.5</f>
        <v>211.71</v>
      </c>
      <c r="K56">
        <f t="shared" si="0"/>
        <v>211.71</v>
      </c>
    </row>
    <row r="57" spans="1:11" x14ac:dyDescent="0.15">
      <c r="A57" s="6">
        <v>55</v>
      </c>
      <c r="B57" t="s">
        <v>72</v>
      </c>
      <c r="C57" t="s">
        <v>23</v>
      </c>
      <c r="D57" s="7">
        <v>208.09</v>
      </c>
      <c r="E57" s="7">
        <v>208.09</v>
      </c>
      <c r="F57" s="7">
        <v>1.72</v>
      </c>
      <c r="G57">
        <f t="shared" si="1"/>
        <v>16.300739999999998</v>
      </c>
      <c r="H57" t="s">
        <v>694</v>
      </c>
      <c r="K57">
        <f t="shared" si="0"/>
        <v>208.09</v>
      </c>
    </row>
    <row r="58" spans="1:11" x14ac:dyDescent="0.15">
      <c r="A58" s="6">
        <v>56</v>
      </c>
      <c r="B58" t="s">
        <v>73</v>
      </c>
      <c r="C58" t="s">
        <v>19</v>
      </c>
      <c r="D58" s="7">
        <v>331.08</v>
      </c>
      <c r="E58" s="7">
        <v>339.58</v>
      </c>
      <c r="F58" s="7">
        <v>14.91</v>
      </c>
      <c r="G58">
        <f t="shared" si="1"/>
        <v>16.640319999999999</v>
      </c>
      <c r="H58" t="s">
        <v>694</v>
      </c>
      <c r="J58" s="7">
        <f t="shared" ref="J58:J60" si="8">D58+8.5</f>
        <v>339.58</v>
      </c>
      <c r="K58">
        <f t="shared" si="0"/>
        <v>339.58</v>
      </c>
    </row>
    <row r="59" spans="1:11" x14ac:dyDescent="0.15">
      <c r="A59" s="6">
        <v>57</v>
      </c>
      <c r="B59" t="s">
        <v>74</v>
      </c>
      <c r="C59" t="s">
        <v>28</v>
      </c>
      <c r="D59" s="7">
        <v>379.19</v>
      </c>
      <c r="E59" s="7">
        <v>387.69</v>
      </c>
      <c r="F59" s="7">
        <v>3.64</v>
      </c>
      <c r="G59">
        <f t="shared" si="1"/>
        <v>17.028009999999998</v>
      </c>
      <c r="H59" t="s">
        <v>694</v>
      </c>
      <c r="J59" s="7">
        <f t="shared" si="8"/>
        <v>387.69</v>
      </c>
      <c r="K59">
        <f t="shared" si="0"/>
        <v>387.69</v>
      </c>
    </row>
    <row r="60" spans="1:11" x14ac:dyDescent="0.15">
      <c r="A60" s="6">
        <v>58</v>
      </c>
      <c r="B60" t="s">
        <v>75</v>
      </c>
      <c r="C60" t="s">
        <v>19</v>
      </c>
      <c r="D60" s="7">
        <v>341.44</v>
      </c>
      <c r="E60" s="7">
        <v>349.94</v>
      </c>
      <c r="F60" s="7">
        <v>20.9</v>
      </c>
      <c r="G60">
        <f t="shared" si="1"/>
        <v>17.377949999999998</v>
      </c>
      <c r="H60" t="s">
        <v>694</v>
      </c>
      <c r="J60" s="7">
        <f t="shared" si="8"/>
        <v>349.94</v>
      </c>
      <c r="K60">
        <f t="shared" si="0"/>
        <v>349.94</v>
      </c>
    </row>
    <row r="61" spans="1:11" x14ac:dyDescent="0.15">
      <c r="A61" s="6">
        <v>59</v>
      </c>
      <c r="B61" t="s">
        <v>76</v>
      </c>
      <c r="C61" t="s">
        <v>23</v>
      </c>
      <c r="D61" s="7">
        <v>272.26</v>
      </c>
      <c r="E61" s="7">
        <v>272.26</v>
      </c>
      <c r="F61" s="7">
        <v>12.8</v>
      </c>
      <c r="G61">
        <f t="shared" si="1"/>
        <v>17.650209999999998</v>
      </c>
      <c r="H61" t="s">
        <v>694</v>
      </c>
      <c r="K61">
        <f t="shared" si="0"/>
        <v>272.26</v>
      </c>
    </row>
    <row r="62" spans="1:11" x14ac:dyDescent="0.15">
      <c r="A62" s="6">
        <v>60</v>
      </c>
      <c r="B62" t="s">
        <v>77</v>
      </c>
      <c r="C62" t="s">
        <v>19</v>
      </c>
      <c r="D62" s="7">
        <v>371.95</v>
      </c>
      <c r="E62" s="7">
        <v>380.45</v>
      </c>
      <c r="F62" s="7">
        <v>16.690000000000001</v>
      </c>
      <c r="G62">
        <f t="shared" si="1"/>
        <v>18.030659999999997</v>
      </c>
      <c r="H62" t="s">
        <v>694</v>
      </c>
      <c r="J62" s="7">
        <f>D62+8.5</f>
        <v>380.45</v>
      </c>
      <c r="K62">
        <f t="shared" si="0"/>
        <v>380.45</v>
      </c>
    </row>
    <row r="63" spans="1:11" x14ac:dyDescent="0.15">
      <c r="A63" s="6">
        <v>61</v>
      </c>
      <c r="B63" t="s">
        <v>78</v>
      </c>
      <c r="C63" t="s">
        <v>23</v>
      </c>
      <c r="D63" s="7">
        <v>268.43</v>
      </c>
      <c r="E63" s="7">
        <v>268.43</v>
      </c>
      <c r="F63" s="7">
        <v>7.95</v>
      </c>
      <c r="G63">
        <f t="shared" si="1"/>
        <v>18.299089999999996</v>
      </c>
      <c r="H63" t="s">
        <v>694</v>
      </c>
      <c r="K63">
        <f t="shared" si="0"/>
        <v>268.43</v>
      </c>
    </row>
    <row r="64" spans="1:11" x14ac:dyDescent="0.15">
      <c r="A64" s="6">
        <v>62</v>
      </c>
      <c r="B64" t="s">
        <v>79</v>
      </c>
      <c r="C64" t="s">
        <v>28</v>
      </c>
      <c r="D64" s="7">
        <v>303.58</v>
      </c>
      <c r="E64" s="7">
        <v>312.08</v>
      </c>
      <c r="F64" s="7">
        <v>22.06</v>
      </c>
      <c r="G64">
        <f t="shared" si="1"/>
        <v>18.611169999999998</v>
      </c>
      <c r="H64" t="s">
        <v>694</v>
      </c>
      <c r="J64" s="7">
        <f t="shared" ref="J64:J69" si="9">D64+8.5</f>
        <v>312.08</v>
      </c>
      <c r="K64">
        <f t="shared" si="0"/>
        <v>312.08</v>
      </c>
    </row>
    <row r="65" spans="1:11" x14ac:dyDescent="0.15">
      <c r="A65" s="6">
        <v>63</v>
      </c>
      <c r="B65" t="s">
        <v>80</v>
      </c>
      <c r="C65" t="s">
        <v>28</v>
      </c>
      <c r="D65" s="7">
        <v>307.33</v>
      </c>
      <c r="E65" s="7">
        <v>315.83</v>
      </c>
      <c r="F65" s="7">
        <v>14.39</v>
      </c>
      <c r="G65">
        <f t="shared" si="1"/>
        <v>18.926999999999996</v>
      </c>
      <c r="H65" t="s">
        <v>694</v>
      </c>
      <c r="J65" s="7">
        <f t="shared" si="9"/>
        <v>315.83</v>
      </c>
      <c r="K65">
        <f t="shared" si="0"/>
        <v>315.83</v>
      </c>
    </row>
    <row r="66" spans="1:11" x14ac:dyDescent="0.15">
      <c r="A66" s="6">
        <v>64</v>
      </c>
      <c r="B66" t="s">
        <v>81</v>
      </c>
      <c r="C66" t="s">
        <v>28</v>
      </c>
      <c r="D66" s="7">
        <v>213.16</v>
      </c>
      <c r="E66" s="7">
        <v>221.66</v>
      </c>
      <c r="F66" s="7">
        <v>8.17</v>
      </c>
      <c r="G66">
        <f t="shared" si="1"/>
        <v>19.148659999999996</v>
      </c>
      <c r="H66" t="s">
        <v>694</v>
      </c>
      <c r="J66" s="7">
        <f t="shared" si="9"/>
        <v>221.66</v>
      </c>
      <c r="K66">
        <f t="shared" si="0"/>
        <v>221.66</v>
      </c>
    </row>
    <row r="67" spans="1:11" x14ac:dyDescent="0.15">
      <c r="A67" s="6">
        <v>65</v>
      </c>
      <c r="B67" t="s">
        <v>82</v>
      </c>
      <c r="C67" t="s">
        <v>19</v>
      </c>
      <c r="D67" s="7">
        <v>304.39999999999998</v>
      </c>
      <c r="E67" s="7">
        <v>312.89999999999998</v>
      </c>
      <c r="F67" s="7">
        <v>16.350000000000001</v>
      </c>
      <c r="G67">
        <f t="shared" si="1"/>
        <v>19.461559999999995</v>
      </c>
      <c r="H67" t="s">
        <v>694</v>
      </c>
      <c r="J67" s="7">
        <f t="shared" si="9"/>
        <v>312.89999999999998</v>
      </c>
      <c r="K67">
        <f t="shared" ref="K67:K130" si="10">IF(J67&lt;&gt;"",J67,D67)</f>
        <v>312.89999999999998</v>
      </c>
    </row>
    <row r="68" spans="1:11" x14ac:dyDescent="0.15">
      <c r="A68" s="6">
        <v>66</v>
      </c>
      <c r="B68" t="s">
        <v>83</v>
      </c>
      <c r="C68" t="s">
        <v>28</v>
      </c>
      <c r="D68" s="7">
        <v>291.43</v>
      </c>
      <c r="E68" s="7">
        <v>299.93</v>
      </c>
      <c r="F68" s="7">
        <v>14.2</v>
      </c>
      <c r="G68">
        <f t="shared" ref="G68:G131" si="11">E68/1000+G67</f>
        <v>19.761489999999995</v>
      </c>
      <c r="H68" t="s">
        <v>694</v>
      </c>
      <c r="J68" s="7">
        <f t="shared" si="9"/>
        <v>299.93</v>
      </c>
      <c r="K68">
        <f t="shared" si="10"/>
        <v>299.93</v>
      </c>
    </row>
    <row r="69" spans="1:11" x14ac:dyDescent="0.15">
      <c r="A69" s="6">
        <v>67</v>
      </c>
      <c r="B69" t="s">
        <v>84</v>
      </c>
      <c r="C69" t="s">
        <v>28</v>
      </c>
      <c r="D69" s="7">
        <v>313.39999999999998</v>
      </c>
      <c r="E69" s="7">
        <v>321.89999999999998</v>
      </c>
      <c r="F69" s="7">
        <v>5.73</v>
      </c>
      <c r="G69">
        <f t="shared" si="11"/>
        <v>20.083389999999994</v>
      </c>
      <c r="H69" t="s">
        <v>694</v>
      </c>
      <c r="J69" s="7">
        <f t="shared" si="9"/>
        <v>321.89999999999998</v>
      </c>
      <c r="K69">
        <f t="shared" si="10"/>
        <v>321.89999999999998</v>
      </c>
    </row>
    <row r="70" spans="1:11" x14ac:dyDescent="0.15">
      <c r="A70" s="6">
        <v>68</v>
      </c>
      <c r="B70" t="s">
        <v>85</v>
      </c>
      <c r="C70" t="s">
        <v>23</v>
      </c>
      <c r="D70" s="7">
        <v>310.2</v>
      </c>
      <c r="E70" s="7">
        <v>310.2</v>
      </c>
      <c r="F70" s="7">
        <v>1.28</v>
      </c>
      <c r="G70">
        <f t="shared" si="11"/>
        <v>20.393589999999993</v>
      </c>
      <c r="H70" t="s">
        <v>694</v>
      </c>
      <c r="K70">
        <f t="shared" si="10"/>
        <v>310.2</v>
      </c>
    </row>
    <row r="71" spans="1:11" x14ac:dyDescent="0.15">
      <c r="A71" s="6">
        <v>69</v>
      </c>
      <c r="B71" t="s">
        <v>86</v>
      </c>
      <c r="C71" t="s">
        <v>28</v>
      </c>
      <c r="D71" s="7">
        <v>314.8</v>
      </c>
      <c r="E71" s="7">
        <v>323.3</v>
      </c>
      <c r="F71" s="7">
        <v>7.18</v>
      </c>
      <c r="G71">
        <f t="shared" si="11"/>
        <v>20.716889999999992</v>
      </c>
      <c r="H71" t="s">
        <v>694</v>
      </c>
      <c r="J71" s="7">
        <f t="shared" ref="J71:J72" si="12">D71+8.5</f>
        <v>323.3</v>
      </c>
      <c r="K71">
        <f t="shared" si="10"/>
        <v>323.3</v>
      </c>
    </row>
    <row r="72" spans="1:11" x14ac:dyDescent="0.15">
      <c r="A72" s="6">
        <v>70</v>
      </c>
      <c r="B72" t="s">
        <v>87</v>
      </c>
      <c r="C72" t="s">
        <v>28</v>
      </c>
      <c r="D72" s="7">
        <v>357.42</v>
      </c>
      <c r="E72" s="7">
        <v>365.92</v>
      </c>
      <c r="F72" s="7">
        <v>13.17</v>
      </c>
      <c r="G72">
        <f t="shared" si="11"/>
        <v>21.082809999999991</v>
      </c>
      <c r="H72" t="s">
        <v>694</v>
      </c>
      <c r="J72" s="7">
        <f t="shared" si="12"/>
        <v>365.92</v>
      </c>
      <c r="K72">
        <f t="shared" si="10"/>
        <v>365.92</v>
      </c>
    </row>
    <row r="73" spans="1:11" x14ac:dyDescent="0.15">
      <c r="A73" s="6">
        <v>71</v>
      </c>
      <c r="B73" t="s">
        <v>88</v>
      </c>
      <c r="C73" t="s">
        <v>23</v>
      </c>
      <c r="D73" s="7">
        <v>278.37</v>
      </c>
      <c r="E73" s="7">
        <v>278.37</v>
      </c>
      <c r="F73" s="7">
        <v>1.82</v>
      </c>
      <c r="G73">
        <f t="shared" si="11"/>
        <v>21.36117999999999</v>
      </c>
      <c r="H73" t="s">
        <v>694</v>
      </c>
      <c r="K73">
        <f t="shared" si="10"/>
        <v>278.37</v>
      </c>
    </row>
    <row r="74" spans="1:11" x14ac:dyDescent="0.15">
      <c r="A74" s="6">
        <v>72</v>
      </c>
      <c r="B74" t="s">
        <v>89</v>
      </c>
      <c r="C74" t="s">
        <v>28</v>
      </c>
      <c r="D74" s="7">
        <v>278.58</v>
      </c>
      <c r="E74" s="7">
        <v>287.08</v>
      </c>
      <c r="F74" s="7">
        <v>4.7699999999999996</v>
      </c>
      <c r="G74">
        <f t="shared" si="11"/>
        <v>21.64825999999999</v>
      </c>
      <c r="H74" t="s">
        <v>694</v>
      </c>
      <c r="J74" s="7">
        <f t="shared" ref="J74:J88" si="13">D74+8.5</f>
        <v>287.08</v>
      </c>
      <c r="K74">
        <f t="shared" si="10"/>
        <v>287.08</v>
      </c>
    </row>
    <row r="75" spans="1:11" x14ac:dyDescent="0.15">
      <c r="A75" s="6">
        <v>73</v>
      </c>
      <c r="B75" t="s">
        <v>90</v>
      </c>
      <c r="C75" t="s">
        <v>28</v>
      </c>
      <c r="D75" s="7">
        <v>343.9</v>
      </c>
      <c r="E75" s="7">
        <v>352.4</v>
      </c>
      <c r="F75" s="7">
        <v>23.88</v>
      </c>
      <c r="G75">
        <f t="shared" si="11"/>
        <v>22.000659999999989</v>
      </c>
      <c r="H75" t="s">
        <v>694</v>
      </c>
      <c r="J75" s="7">
        <f t="shared" si="13"/>
        <v>352.4</v>
      </c>
      <c r="K75">
        <f t="shared" si="10"/>
        <v>352.4</v>
      </c>
    </row>
    <row r="76" spans="1:11" x14ac:dyDescent="0.15">
      <c r="A76" s="6">
        <v>74</v>
      </c>
      <c r="B76" t="s">
        <v>91</v>
      </c>
      <c r="C76" t="s">
        <v>19</v>
      </c>
      <c r="D76" s="7">
        <v>303.81</v>
      </c>
      <c r="E76" s="7">
        <v>312.31</v>
      </c>
      <c r="F76" s="7">
        <v>0.12</v>
      </c>
      <c r="G76">
        <f t="shared" si="11"/>
        <v>22.312969999999989</v>
      </c>
      <c r="H76" t="s">
        <v>694</v>
      </c>
      <c r="J76" s="7">
        <f t="shared" si="13"/>
        <v>312.31</v>
      </c>
      <c r="K76">
        <f t="shared" si="10"/>
        <v>312.31</v>
      </c>
    </row>
    <row r="77" spans="1:11" x14ac:dyDescent="0.15">
      <c r="A77" s="6">
        <v>75</v>
      </c>
      <c r="B77" t="s">
        <v>92</v>
      </c>
      <c r="C77" t="s">
        <v>28</v>
      </c>
      <c r="D77" s="7">
        <v>327.84</v>
      </c>
      <c r="E77" s="7">
        <v>336.34</v>
      </c>
      <c r="F77" s="7">
        <v>27.88</v>
      </c>
      <c r="G77">
        <f t="shared" si="11"/>
        <v>22.649309999999989</v>
      </c>
      <c r="H77" t="s">
        <v>694</v>
      </c>
      <c r="J77" s="7">
        <f t="shared" si="13"/>
        <v>336.34</v>
      </c>
      <c r="K77">
        <f t="shared" si="10"/>
        <v>336.34</v>
      </c>
    </row>
    <row r="78" spans="1:11" x14ac:dyDescent="0.15">
      <c r="A78" s="6">
        <v>76</v>
      </c>
      <c r="B78" t="s">
        <v>695</v>
      </c>
      <c r="C78" t="s">
        <v>28</v>
      </c>
      <c r="D78" s="7">
        <v>251.54</v>
      </c>
      <c r="E78" s="7">
        <v>260.03999999999996</v>
      </c>
      <c r="F78" s="7">
        <v>30.44</v>
      </c>
      <c r="G78">
        <f t="shared" si="11"/>
        <v>22.909349999999989</v>
      </c>
      <c r="H78" t="s">
        <v>694</v>
      </c>
      <c r="J78" s="7">
        <f t="shared" si="13"/>
        <v>260.03999999999996</v>
      </c>
      <c r="K78">
        <f t="shared" si="10"/>
        <v>260.03999999999996</v>
      </c>
    </row>
    <row r="79" spans="1:11" x14ac:dyDescent="0.15">
      <c r="A79" s="6">
        <v>77</v>
      </c>
      <c r="B79" t="s">
        <v>696</v>
      </c>
      <c r="C79" t="s">
        <v>28</v>
      </c>
      <c r="D79" s="7">
        <v>242.41</v>
      </c>
      <c r="E79" s="7">
        <v>250.91</v>
      </c>
      <c r="F79" s="7">
        <v>9.57</v>
      </c>
      <c r="G79">
        <f t="shared" si="11"/>
        <v>23.16025999999999</v>
      </c>
      <c r="H79" t="s">
        <v>694</v>
      </c>
      <c r="J79" s="7">
        <f t="shared" si="13"/>
        <v>250.91</v>
      </c>
      <c r="K79">
        <f t="shared" si="10"/>
        <v>250.91</v>
      </c>
    </row>
    <row r="80" spans="1:11" x14ac:dyDescent="0.15">
      <c r="A80" s="6">
        <v>78</v>
      </c>
      <c r="B80" t="s">
        <v>95</v>
      </c>
      <c r="C80" t="s">
        <v>28</v>
      </c>
      <c r="D80" s="7">
        <v>298.89999999999998</v>
      </c>
      <c r="E80" s="7">
        <v>307.39999999999998</v>
      </c>
      <c r="F80" s="7">
        <v>2.87</v>
      </c>
      <c r="G80">
        <f t="shared" si="11"/>
        <v>23.467659999999992</v>
      </c>
      <c r="H80" t="s">
        <v>694</v>
      </c>
      <c r="J80" s="7">
        <f t="shared" si="13"/>
        <v>307.39999999999998</v>
      </c>
      <c r="K80">
        <f t="shared" si="10"/>
        <v>307.39999999999998</v>
      </c>
    </row>
    <row r="81" spans="1:11" x14ac:dyDescent="0.15">
      <c r="A81" s="6">
        <v>79</v>
      </c>
      <c r="B81" t="s">
        <v>96</v>
      </c>
      <c r="C81" t="s">
        <v>28</v>
      </c>
      <c r="D81" s="7">
        <v>386.75</v>
      </c>
      <c r="E81" s="7">
        <v>395.25</v>
      </c>
      <c r="F81" s="7">
        <v>2.1800000000000002</v>
      </c>
      <c r="G81">
        <f t="shared" si="11"/>
        <v>23.862909999999992</v>
      </c>
      <c r="H81" t="s">
        <v>694</v>
      </c>
      <c r="J81" s="7">
        <f t="shared" si="13"/>
        <v>395.25</v>
      </c>
      <c r="K81">
        <f t="shared" si="10"/>
        <v>395.25</v>
      </c>
    </row>
    <row r="82" spans="1:11" x14ac:dyDescent="0.15">
      <c r="A82" s="6">
        <v>80</v>
      </c>
      <c r="B82" t="s">
        <v>97</v>
      </c>
      <c r="C82" t="s">
        <v>28</v>
      </c>
      <c r="D82" s="7">
        <v>286.17</v>
      </c>
      <c r="E82" s="7">
        <v>294.67</v>
      </c>
      <c r="F82" s="7">
        <v>0.44</v>
      </c>
      <c r="G82">
        <f t="shared" si="11"/>
        <v>24.157579999999992</v>
      </c>
      <c r="H82" t="s">
        <v>694</v>
      </c>
      <c r="J82" s="7">
        <f t="shared" si="13"/>
        <v>294.67</v>
      </c>
      <c r="K82">
        <f t="shared" si="10"/>
        <v>294.67</v>
      </c>
    </row>
    <row r="83" spans="1:11" x14ac:dyDescent="0.15">
      <c r="A83" s="6">
        <v>81</v>
      </c>
      <c r="B83" t="s">
        <v>98</v>
      </c>
      <c r="C83" t="s">
        <v>28</v>
      </c>
      <c r="D83" s="7">
        <v>362.11</v>
      </c>
      <c r="E83" s="7">
        <v>370.61</v>
      </c>
      <c r="F83" s="7">
        <v>16.920000000000002</v>
      </c>
      <c r="G83">
        <f t="shared" si="11"/>
        <v>24.528189999999991</v>
      </c>
      <c r="H83" t="s">
        <v>694</v>
      </c>
      <c r="J83" s="7">
        <f t="shared" si="13"/>
        <v>370.61</v>
      </c>
      <c r="K83">
        <f t="shared" si="10"/>
        <v>370.61</v>
      </c>
    </row>
    <row r="84" spans="1:11" x14ac:dyDescent="0.15">
      <c r="A84" s="6">
        <v>82</v>
      </c>
      <c r="B84" t="s">
        <v>99</v>
      </c>
      <c r="C84" t="s">
        <v>28</v>
      </c>
      <c r="D84" s="7">
        <v>290.26</v>
      </c>
      <c r="E84" s="7">
        <v>298.76</v>
      </c>
      <c r="F84" s="7">
        <v>0.23</v>
      </c>
      <c r="G84">
        <f t="shared" si="11"/>
        <v>24.826949999999993</v>
      </c>
      <c r="H84" t="s">
        <v>694</v>
      </c>
      <c r="J84" s="7">
        <f t="shared" si="13"/>
        <v>298.76</v>
      </c>
      <c r="K84">
        <f t="shared" si="10"/>
        <v>298.76</v>
      </c>
    </row>
    <row r="85" spans="1:11" x14ac:dyDescent="0.15">
      <c r="A85" s="6">
        <v>83</v>
      </c>
      <c r="B85" t="s">
        <v>100</v>
      </c>
      <c r="C85" t="s">
        <v>28</v>
      </c>
      <c r="D85" s="7">
        <v>271.62</v>
      </c>
      <c r="E85" s="7">
        <v>280.12</v>
      </c>
      <c r="F85" s="7">
        <v>22.37</v>
      </c>
      <c r="G85">
        <f t="shared" si="11"/>
        <v>25.107069999999993</v>
      </c>
      <c r="H85" t="s">
        <v>694</v>
      </c>
      <c r="J85" s="7">
        <f t="shared" si="13"/>
        <v>280.12</v>
      </c>
      <c r="K85">
        <f t="shared" si="10"/>
        <v>280.12</v>
      </c>
    </row>
    <row r="86" spans="1:11" x14ac:dyDescent="0.15">
      <c r="A86" s="6">
        <v>84</v>
      </c>
      <c r="B86" t="s">
        <v>101</v>
      </c>
      <c r="C86" t="s">
        <v>28</v>
      </c>
      <c r="D86" s="7">
        <v>404.55</v>
      </c>
      <c r="E86" s="7">
        <v>413.05</v>
      </c>
      <c r="F86" s="7">
        <v>1.32</v>
      </c>
      <c r="G86">
        <f t="shared" si="11"/>
        <v>25.520119999999991</v>
      </c>
      <c r="H86" t="s">
        <v>694</v>
      </c>
      <c r="J86" s="7">
        <f t="shared" si="13"/>
        <v>413.05</v>
      </c>
      <c r="K86">
        <f t="shared" si="10"/>
        <v>413.05</v>
      </c>
    </row>
    <row r="87" spans="1:11" x14ac:dyDescent="0.15">
      <c r="A87" s="6">
        <v>85</v>
      </c>
      <c r="B87" t="s">
        <v>102</v>
      </c>
      <c r="C87" t="s">
        <v>28</v>
      </c>
      <c r="D87" s="7">
        <v>188.26</v>
      </c>
      <c r="E87" s="7">
        <v>196.76</v>
      </c>
      <c r="F87" s="7">
        <v>61.83</v>
      </c>
      <c r="G87">
        <f t="shared" si="11"/>
        <v>25.716879999999993</v>
      </c>
      <c r="H87" t="s">
        <v>694</v>
      </c>
      <c r="J87" s="7">
        <f t="shared" si="13"/>
        <v>196.76</v>
      </c>
      <c r="K87">
        <f t="shared" si="10"/>
        <v>196.76</v>
      </c>
    </row>
    <row r="88" spans="1:11" x14ac:dyDescent="0.15">
      <c r="A88" s="6">
        <v>86</v>
      </c>
      <c r="B88" t="s">
        <v>103</v>
      </c>
      <c r="C88" t="s">
        <v>28</v>
      </c>
      <c r="D88" s="7">
        <v>216.33</v>
      </c>
      <c r="E88" s="7">
        <v>224.83</v>
      </c>
      <c r="F88" s="7">
        <v>52.47</v>
      </c>
      <c r="G88">
        <f t="shared" si="11"/>
        <v>25.941709999999993</v>
      </c>
      <c r="H88" t="s">
        <v>694</v>
      </c>
      <c r="J88" s="7">
        <f t="shared" si="13"/>
        <v>224.83</v>
      </c>
      <c r="K88">
        <f t="shared" si="10"/>
        <v>224.83</v>
      </c>
    </row>
    <row r="89" spans="1:11" x14ac:dyDescent="0.15">
      <c r="A89" s="6">
        <v>87</v>
      </c>
      <c r="B89" t="s">
        <v>104</v>
      </c>
      <c r="C89" t="s">
        <v>23</v>
      </c>
      <c r="D89" s="7">
        <v>344.19</v>
      </c>
      <c r="E89" s="7">
        <v>344.19</v>
      </c>
      <c r="F89" s="7">
        <v>1.07</v>
      </c>
      <c r="G89">
        <f t="shared" si="11"/>
        <v>26.285899999999994</v>
      </c>
      <c r="H89" t="s">
        <v>694</v>
      </c>
      <c r="K89">
        <f t="shared" si="10"/>
        <v>344.19</v>
      </c>
    </row>
    <row r="90" spans="1:11" x14ac:dyDescent="0.15">
      <c r="A90" s="6">
        <v>88</v>
      </c>
      <c r="B90" t="s">
        <v>105</v>
      </c>
      <c r="C90" t="s">
        <v>23</v>
      </c>
      <c r="D90" s="7">
        <v>349.13</v>
      </c>
      <c r="E90" s="7">
        <v>349.13</v>
      </c>
      <c r="F90" s="7">
        <v>0.26</v>
      </c>
      <c r="G90">
        <f t="shared" si="11"/>
        <v>26.635029999999993</v>
      </c>
      <c r="H90" t="s">
        <v>694</v>
      </c>
      <c r="K90">
        <f t="shared" si="10"/>
        <v>349.13</v>
      </c>
    </row>
    <row r="91" spans="1:11" x14ac:dyDescent="0.15">
      <c r="A91" s="6">
        <v>89</v>
      </c>
      <c r="B91" t="s">
        <v>106</v>
      </c>
      <c r="C91" t="s">
        <v>23</v>
      </c>
      <c r="D91" s="7">
        <v>307.12</v>
      </c>
      <c r="E91" s="7">
        <v>307.12</v>
      </c>
      <c r="F91" s="7">
        <v>0.43</v>
      </c>
      <c r="G91">
        <f t="shared" si="11"/>
        <v>26.942149999999994</v>
      </c>
      <c r="H91" t="s">
        <v>694</v>
      </c>
      <c r="K91">
        <f t="shared" si="10"/>
        <v>307.12</v>
      </c>
    </row>
    <row r="92" spans="1:11" x14ac:dyDescent="0.15">
      <c r="A92" s="6">
        <v>90</v>
      </c>
      <c r="B92" t="s">
        <v>107</v>
      </c>
      <c r="C92" t="s">
        <v>23</v>
      </c>
      <c r="D92" s="7">
        <v>300.83</v>
      </c>
      <c r="E92" s="7">
        <v>300.83</v>
      </c>
      <c r="F92" s="7">
        <v>1.07</v>
      </c>
      <c r="G92">
        <f t="shared" si="11"/>
        <v>27.242979999999996</v>
      </c>
      <c r="H92" t="s">
        <v>694</v>
      </c>
      <c r="K92">
        <f t="shared" si="10"/>
        <v>300.83</v>
      </c>
    </row>
    <row r="93" spans="1:11" x14ac:dyDescent="0.15">
      <c r="A93" s="6">
        <v>91</v>
      </c>
      <c r="B93" t="s">
        <v>108</v>
      </c>
      <c r="C93" t="s">
        <v>23</v>
      </c>
      <c r="D93" s="7">
        <v>234.18</v>
      </c>
      <c r="E93" s="7">
        <v>234.18</v>
      </c>
      <c r="F93" s="7">
        <v>1.65</v>
      </c>
      <c r="G93">
        <f t="shared" si="11"/>
        <v>27.477159999999994</v>
      </c>
      <c r="H93" t="s">
        <v>694</v>
      </c>
      <c r="K93">
        <f t="shared" si="10"/>
        <v>234.18</v>
      </c>
    </row>
    <row r="94" spans="1:11" x14ac:dyDescent="0.15">
      <c r="A94" s="6">
        <v>92</v>
      </c>
      <c r="B94" t="s">
        <v>109</v>
      </c>
      <c r="C94" t="s">
        <v>28</v>
      </c>
      <c r="D94" s="7">
        <v>289.79000000000002</v>
      </c>
      <c r="E94" s="7">
        <v>298.29000000000002</v>
      </c>
      <c r="F94" s="7">
        <v>13.45</v>
      </c>
      <c r="G94">
        <f t="shared" si="11"/>
        <v>27.775449999999996</v>
      </c>
      <c r="H94" t="s">
        <v>694</v>
      </c>
      <c r="J94" s="7">
        <f t="shared" ref="J94:J95" si="14">D94+8.5</f>
        <v>298.29000000000002</v>
      </c>
      <c r="K94">
        <f t="shared" si="10"/>
        <v>298.29000000000002</v>
      </c>
    </row>
    <row r="95" spans="1:11" x14ac:dyDescent="0.15">
      <c r="A95" s="6">
        <v>93</v>
      </c>
      <c r="B95" t="s">
        <v>110</v>
      </c>
      <c r="C95" t="s">
        <v>19</v>
      </c>
      <c r="D95" s="7">
        <v>273.87</v>
      </c>
      <c r="E95" s="7">
        <v>282.37</v>
      </c>
      <c r="F95" s="7">
        <v>27.64</v>
      </c>
      <c r="G95">
        <f t="shared" si="11"/>
        <v>28.057819999999996</v>
      </c>
      <c r="H95" t="s">
        <v>694</v>
      </c>
      <c r="J95" s="7">
        <f t="shared" si="14"/>
        <v>282.37</v>
      </c>
      <c r="K95">
        <f t="shared" si="10"/>
        <v>282.37</v>
      </c>
    </row>
    <row r="96" spans="1:11" x14ac:dyDescent="0.15">
      <c r="A96" s="6">
        <v>94</v>
      </c>
      <c r="B96" t="s">
        <v>111</v>
      </c>
      <c r="C96" t="s">
        <v>23</v>
      </c>
      <c r="D96" s="7">
        <v>295.18</v>
      </c>
      <c r="E96" s="7">
        <v>295.18</v>
      </c>
      <c r="F96" s="7">
        <v>2.2599999999999998</v>
      </c>
      <c r="G96">
        <f t="shared" si="11"/>
        <v>28.352999999999994</v>
      </c>
      <c r="H96" t="s">
        <v>694</v>
      </c>
      <c r="K96">
        <f t="shared" si="10"/>
        <v>295.18</v>
      </c>
    </row>
    <row r="97" spans="1:11" x14ac:dyDescent="0.15">
      <c r="A97" s="6">
        <v>95</v>
      </c>
      <c r="B97" t="s">
        <v>112</v>
      </c>
      <c r="C97" t="s">
        <v>28</v>
      </c>
      <c r="D97" s="7">
        <v>245.6</v>
      </c>
      <c r="E97" s="7">
        <v>254.1</v>
      </c>
      <c r="F97" s="7">
        <v>6.85</v>
      </c>
      <c r="G97">
        <f t="shared" si="11"/>
        <v>28.607099999999996</v>
      </c>
      <c r="H97" t="s">
        <v>694</v>
      </c>
      <c r="J97" s="7">
        <f t="shared" ref="J97:J99" si="15">D97+8.5</f>
        <v>254.1</v>
      </c>
      <c r="K97">
        <f t="shared" si="10"/>
        <v>254.1</v>
      </c>
    </row>
    <row r="98" spans="1:11" x14ac:dyDescent="0.15">
      <c r="A98" s="6">
        <v>96</v>
      </c>
      <c r="B98" t="s">
        <v>113</v>
      </c>
      <c r="C98" t="s">
        <v>28</v>
      </c>
      <c r="D98" s="7">
        <v>181.79</v>
      </c>
      <c r="E98" s="7">
        <v>190.29</v>
      </c>
      <c r="F98" s="7">
        <v>19.27</v>
      </c>
      <c r="G98">
        <f t="shared" si="11"/>
        <v>28.797389999999996</v>
      </c>
      <c r="H98" t="s">
        <v>694</v>
      </c>
      <c r="J98" s="7">
        <f t="shared" si="15"/>
        <v>190.29</v>
      </c>
      <c r="K98">
        <f t="shared" si="10"/>
        <v>190.29</v>
      </c>
    </row>
    <row r="99" spans="1:11" x14ac:dyDescent="0.15">
      <c r="A99" s="6">
        <v>97</v>
      </c>
      <c r="B99" t="s">
        <v>114</v>
      </c>
      <c r="C99" t="s">
        <v>19</v>
      </c>
      <c r="D99" s="7">
        <v>328.75</v>
      </c>
      <c r="E99" s="7">
        <v>337.25</v>
      </c>
      <c r="F99" s="7">
        <v>16.32</v>
      </c>
      <c r="G99">
        <f t="shared" si="11"/>
        <v>29.134639999999997</v>
      </c>
      <c r="H99" t="s">
        <v>694</v>
      </c>
      <c r="J99" s="7">
        <f t="shared" si="15"/>
        <v>337.25</v>
      </c>
      <c r="K99">
        <f t="shared" si="10"/>
        <v>337.25</v>
      </c>
    </row>
    <row r="100" spans="1:11" x14ac:dyDescent="0.15">
      <c r="A100" s="6">
        <v>98</v>
      </c>
      <c r="B100" t="s">
        <v>115</v>
      </c>
      <c r="C100" t="s">
        <v>23</v>
      </c>
      <c r="D100" s="7">
        <v>382.5</v>
      </c>
      <c r="E100" s="7">
        <v>382.5</v>
      </c>
      <c r="F100" s="7">
        <v>7.0000000000000007E-2</v>
      </c>
      <c r="G100">
        <f t="shared" si="11"/>
        <v>29.517139999999998</v>
      </c>
      <c r="H100" t="s">
        <v>694</v>
      </c>
      <c r="K100">
        <f t="shared" si="10"/>
        <v>382.5</v>
      </c>
    </row>
    <row r="101" spans="1:11" x14ac:dyDescent="0.15">
      <c r="A101" s="6">
        <v>99</v>
      </c>
      <c r="B101" t="s">
        <v>116</v>
      </c>
      <c r="C101" t="s">
        <v>23</v>
      </c>
      <c r="D101" s="7">
        <v>330.46</v>
      </c>
      <c r="E101" s="7">
        <v>330.46</v>
      </c>
      <c r="F101" s="7">
        <v>0.86</v>
      </c>
      <c r="G101">
        <f t="shared" si="11"/>
        <v>29.847599999999996</v>
      </c>
      <c r="H101" t="s">
        <v>694</v>
      </c>
      <c r="K101">
        <f t="shared" si="10"/>
        <v>330.46</v>
      </c>
    </row>
    <row r="102" spans="1:11" x14ac:dyDescent="0.15">
      <c r="A102" s="6">
        <v>100</v>
      </c>
      <c r="B102" t="s">
        <v>117</v>
      </c>
      <c r="C102" t="s">
        <v>23</v>
      </c>
      <c r="D102" s="7">
        <v>361.23</v>
      </c>
      <c r="E102" s="7">
        <v>361.23</v>
      </c>
      <c r="F102" s="7">
        <v>0.35</v>
      </c>
      <c r="G102">
        <f t="shared" si="11"/>
        <v>30.208829999999995</v>
      </c>
      <c r="H102" t="s">
        <v>694</v>
      </c>
      <c r="K102">
        <f t="shared" si="10"/>
        <v>361.23</v>
      </c>
    </row>
    <row r="103" spans="1:11" x14ac:dyDescent="0.15">
      <c r="A103" s="6">
        <v>101</v>
      </c>
      <c r="B103" t="s">
        <v>118</v>
      </c>
      <c r="C103" t="s">
        <v>23</v>
      </c>
      <c r="D103" s="7">
        <v>336.94</v>
      </c>
      <c r="E103" s="7">
        <v>336.94</v>
      </c>
      <c r="F103" s="7">
        <v>1.0900000000000001</v>
      </c>
      <c r="G103">
        <f t="shared" si="11"/>
        <v>30.545769999999994</v>
      </c>
      <c r="H103" t="s">
        <v>694</v>
      </c>
      <c r="K103">
        <f t="shared" si="10"/>
        <v>336.94</v>
      </c>
    </row>
    <row r="104" spans="1:11" x14ac:dyDescent="0.15">
      <c r="A104" s="6">
        <v>102</v>
      </c>
      <c r="B104" t="s">
        <v>121</v>
      </c>
      <c r="C104" t="s">
        <v>23</v>
      </c>
      <c r="D104" s="7">
        <v>360.28</v>
      </c>
      <c r="E104" s="7">
        <v>360.28</v>
      </c>
      <c r="F104" s="7">
        <v>3.41</v>
      </c>
      <c r="G104">
        <f t="shared" si="11"/>
        <v>30.906049999999993</v>
      </c>
      <c r="H104" t="s">
        <v>694</v>
      </c>
      <c r="K104">
        <f t="shared" si="10"/>
        <v>360.28</v>
      </c>
    </row>
    <row r="105" spans="1:11" x14ac:dyDescent="0.15">
      <c r="A105" s="6">
        <v>103</v>
      </c>
      <c r="B105" t="s">
        <v>122</v>
      </c>
      <c r="C105" t="s">
        <v>23</v>
      </c>
      <c r="D105" s="7">
        <v>292.51</v>
      </c>
      <c r="E105" s="7">
        <v>292.51</v>
      </c>
      <c r="F105" s="7">
        <v>2.5099999999999998</v>
      </c>
      <c r="G105">
        <f t="shared" si="11"/>
        <v>31.198559999999993</v>
      </c>
      <c r="H105" t="s">
        <v>694</v>
      </c>
      <c r="K105">
        <f t="shared" si="10"/>
        <v>292.51</v>
      </c>
    </row>
    <row r="106" spans="1:11" x14ac:dyDescent="0.15">
      <c r="A106" s="6">
        <v>104</v>
      </c>
      <c r="B106" t="s">
        <v>123</v>
      </c>
      <c r="C106" t="s">
        <v>23</v>
      </c>
      <c r="D106" s="7">
        <v>327.06</v>
      </c>
      <c r="E106" s="7">
        <v>327.06</v>
      </c>
      <c r="F106" s="7">
        <v>1.06</v>
      </c>
      <c r="G106">
        <f t="shared" si="11"/>
        <v>31.525619999999993</v>
      </c>
      <c r="H106" t="s">
        <v>694</v>
      </c>
      <c r="K106">
        <f t="shared" si="10"/>
        <v>327.06</v>
      </c>
    </row>
    <row r="107" spans="1:11" x14ac:dyDescent="0.15">
      <c r="A107" s="6">
        <v>105</v>
      </c>
      <c r="B107" t="s">
        <v>124</v>
      </c>
      <c r="C107" t="s">
        <v>23</v>
      </c>
      <c r="D107" s="7">
        <v>316.60000000000002</v>
      </c>
      <c r="E107" s="7">
        <v>316.60000000000002</v>
      </c>
      <c r="F107" s="7">
        <v>0.56999999999999995</v>
      </c>
      <c r="G107">
        <f t="shared" si="11"/>
        <v>31.842219999999994</v>
      </c>
      <c r="H107" t="s">
        <v>694</v>
      </c>
      <c r="K107">
        <f t="shared" si="10"/>
        <v>316.60000000000002</v>
      </c>
    </row>
    <row r="108" spans="1:11" x14ac:dyDescent="0.15">
      <c r="A108" s="6">
        <v>106</v>
      </c>
      <c r="B108" t="s">
        <v>125</v>
      </c>
      <c r="C108" t="s">
        <v>23</v>
      </c>
      <c r="D108" s="7">
        <v>327.68</v>
      </c>
      <c r="E108" s="7">
        <v>327.68</v>
      </c>
      <c r="F108" s="7">
        <v>0.14000000000000001</v>
      </c>
      <c r="G108">
        <f t="shared" si="11"/>
        <v>32.169899999999991</v>
      </c>
      <c r="H108" t="s">
        <v>694</v>
      </c>
      <c r="K108">
        <f t="shared" si="10"/>
        <v>327.68</v>
      </c>
    </row>
    <row r="109" spans="1:11" x14ac:dyDescent="0.15">
      <c r="A109" s="6">
        <v>107</v>
      </c>
      <c r="B109" t="s">
        <v>126</v>
      </c>
      <c r="C109" t="s">
        <v>14</v>
      </c>
      <c r="D109" s="7">
        <v>294.27</v>
      </c>
      <c r="E109" s="7">
        <v>302.77</v>
      </c>
      <c r="F109" s="7">
        <v>44.27</v>
      </c>
      <c r="G109">
        <f t="shared" si="11"/>
        <v>32.472669999999994</v>
      </c>
      <c r="H109" t="s">
        <v>694</v>
      </c>
      <c r="J109" s="7">
        <f t="shared" ref="J109:J110" si="16">D109+8.5</f>
        <v>302.77</v>
      </c>
      <c r="K109">
        <f t="shared" si="10"/>
        <v>302.77</v>
      </c>
    </row>
    <row r="110" spans="1:11" x14ac:dyDescent="0.15">
      <c r="A110" s="6">
        <v>108</v>
      </c>
      <c r="B110" t="s">
        <v>127</v>
      </c>
      <c r="C110" t="s">
        <v>28</v>
      </c>
      <c r="D110" s="7">
        <v>341.52</v>
      </c>
      <c r="E110" s="7">
        <v>350.02</v>
      </c>
      <c r="F110" s="7">
        <v>6.81</v>
      </c>
      <c r="G110">
        <f t="shared" si="11"/>
        <v>32.822689999999994</v>
      </c>
      <c r="H110" t="s">
        <v>694</v>
      </c>
      <c r="J110" s="7">
        <f t="shared" si="16"/>
        <v>350.02</v>
      </c>
      <c r="K110">
        <f t="shared" si="10"/>
        <v>350.02</v>
      </c>
    </row>
    <row r="111" spans="1:11" x14ac:dyDescent="0.15">
      <c r="A111" s="6">
        <v>109</v>
      </c>
      <c r="B111" t="s">
        <v>128</v>
      </c>
      <c r="C111" t="s">
        <v>23</v>
      </c>
      <c r="D111" s="7">
        <v>279.24</v>
      </c>
      <c r="E111" s="7">
        <v>279.24</v>
      </c>
      <c r="F111" s="7">
        <v>2.0699999999999998</v>
      </c>
      <c r="G111">
        <f t="shared" si="11"/>
        <v>33.101929999999996</v>
      </c>
      <c r="H111" t="s">
        <v>694</v>
      </c>
      <c r="K111">
        <f t="shared" si="10"/>
        <v>279.24</v>
      </c>
    </row>
    <row r="112" spans="1:11" x14ac:dyDescent="0.15">
      <c r="A112" s="6">
        <v>110</v>
      </c>
      <c r="B112" t="s">
        <v>129</v>
      </c>
      <c r="C112" t="s">
        <v>23</v>
      </c>
      <c r="D112" s="7">
        <v>281.43</v>
      </c>
      <c r="E112" s="7">
        <v>281.43</v>
      </c>
      <c r="F112" s="7">
        <v>1.4</v>
      </c>
      <c r="G112">
        <f t="shared" si="11"/>
        <v>33.383359999999996</v>
      </c>
      <c r="H112" t="s">
        <v>694</v>
      </c>
      <c r="K112">
        <f t="shared" si="10"/>
        <v>281.43</v>
      </c>
    </row>
    <row r="113" spans="1:11" x14ac:dyDescent="0.15">
      <c r="A113" s="6">
        <v>111</v>
      </c>
      <c r="B113" t="s">
        <v>130</v>
      </c>
      <c r="C113" t="s">
        <v>23</v>
      </c>
      <c r="D113" s="7">
        <v>273.86</v>
      </c>
      <c r="E113" s="7">
        <v>273.86</v>
      </c>
      <c r="F113" s="7">
        <v>0.71</v>
      </c>
      <c r="G113">
        <f t="shared" si="11"/>
        <v>33.657219999999995</v>
      </c>
      <c r="H113" t="s">
        <v>694</v>
      </c>
      <c r="K113">
        <f t="shared" si="10"/>
        <v>273.86</v>
      </c>
    </row>
    <row r="114" spans="1:11" x14ac:dyDescent="0.15">
      <c r="A114" s="6">
        <v>112</v>
      </c>
      <c r="B114" t="s">
        <v>131</v>
      </c>
      <c r="C114" t="s">
        <v>28</v>
      </c>
      <c r="D114" s="7">
        <v>304.38</v>
      </c>
      <c r="E114" s="7">
        <v>312.88</v>
      </c>
      <c r="F114" s="7">
        <v>13.6</v>
      </c>
      <c r="G114">
        <f t="shared" si="11"/>
        <v>33.970099999999995</v>
      </c>
      <c r="H114" t="s">
        <v>694</v>
      </c>
      <c r="J114" s="7">
        <f>D114+8.5</f>
        <v>312.88</v>
      </c>
      <c r="K114">
        <f t="shared" si="10"/>
        <v>312.88</v>
      </c>
    </row>
    <row r="115" spans="1:11" x14ac:dyDescent="0.15">
      <c r="A115" s="6">
        <v>113</v>
      </c>
      <c r="B115" t="s">
        <v>132</v>
      </c>
      <c r="C115" t="s">
        <v>23</v>
      </c>
      <c r="D115" s="7">
        <v>346.27</v>
      </c>
      <c r="E115" s="7">
        <v>346.27</v>
      </c>
      <c r="F115" s="7">
        <v>0.81</v>
      </c>
      <c r="G115">
        <f t="shared" si="11"/>
        <v>34.316369999999992</v>
      </c>
      <c r="H115" t="s">
        <v>694</v>
      </c>
      <c r="K115">
        <f t="shared" si="10"/>
        <v>346.27</v>
      </c>
    </row>
    <row r="116" spans="1:11" x14ac:dyDescent="0.15">
      <c r="A116" s="6">
        <v>114</v>
      </c>
      <c r="B116" t="s">
        <v>133</v>
      </c>
      <c r="C116" t="s">
        <v>23</v>
      </c>
      <c r="D116" s="7">
        <v>231.72</v>
      </c>
      <c r="E116" s="7">
        <v>231.72</v>
      </c>
      <c r="F116" s="7">
        <v>3.17</v>
      </c>
      <c r="G116">
        <f t="shared" si="11"/>
        <v>34.548089999999995</v>
      </c>
      <c r="H116" t="s">
        <v>694</v>
      </c>
      <c r="K116">
        <f t="shared" si="10"/>
        <v>231.72</v>
      </c>
    </row>
    <row r="117" spans="1:11" x14ac:dyDescent="0.15">
      <c r="A117" s="6">
        <v>115</v>
      </c>
      <c r="B117" t="s">
        <v>134</v>
      </c>
      <c r="C117" t="s">
        <v>19</v>
      </c>
      <c r="D117" s="7">
        <v>298.04000000000002</v>
      </c>
      <c r="E117" s="7">
        <v>306.54000000000002</v>
      </c>
      <c r="F117" s="7">
        <v>28.57</v>
      </c>
      <c r="G117">
        <f t="shared" si="11"/>
        <v>34.854629999999993</v>
      </c>
      <c r="H117" t="s">
        <v>694</v>
      </c>
      <c r="J117" s="7">
        <f>D117+8.5</f>
        <v>306.54000000000002</v>
      </c>
      <c r="K117">
        <f t="shared" si="10"/>
        <v>306.54000000000002</v>
      </c>
    </row>
    <row r="118" spans="1:11" x14ac:dyDescent="0.15">
      <c r="A118" s="6">
        <v>116</v>
      </c>
      <c r="B118" t="s">
        <v>135</v>
      </c>
      <c r="C118" t="s">
        <v>23</v>
      </c>
      <c r="D118" s="7">
        <v>291.44</v>
      </c>
      <c r="E118" s="7">
        <v>291.44</v>
      </c>
      <c r="F118" s="7">
        <v>0.88</v>
      </c>
      <c r="G118">
        <f t="shared" si="11"/>
        <v>35.146069999999995</v>
      </c>
      <c r="H118" t="s">
        <v>694</v>
      </c>
      <c r="K118">
        <f t="shared" si="10"/>
        <v>291.44</v>
      </c>
    </row>
    <row r="119" spans="1:11" x14ac:dyDescent="0.15">
      <c r="A119" s="6">
        <v>117</v>
      </c>
      <c r="B119" t="s">
        <v>136</v>
      </c>
      <c r="C119" t="s">
        <v>28</v>
      </c>
      <c r="D119" s="7">
        <v>255.58</v>
      </c>
      <c r="E119" s="7">
        <v>264.08000000000004</v>
      </c>
      <c r="F119" s="7">
        <v>0.71</v>
      </c>
      <c r="G119">
        <f t="shared" si="11"/>
        <v>35.410149999999994</v>
      </c>
      <c r="H119" t="s">
        <v>694</v>
      </c>
      <c r="J119" s="7">
        <f t="shared" ref="J119:J121" si="17">D119+8.5</f>
        <v>264.08000000000004</v>
      </c>
      <c r="K119">
        <f t="shared" si="10"/>
        <v>264.08000000000004</v>
      </c>
    </row>
    <row r="120" spans="1:11" x14ac:dyDescent="0.15">
      <c r="A120" s="6">
        <v>118</v>
      </c>
      <c r="B120" t="s">
        <v>137</v>
      </c>
      <c r="C120" t="s">
        <v>28</v>
      </c>
      <c r="D120" s="7">
        <v>289.38</v>
      </c>
      <c r="E120" s="7">
        <v>297.88</v>
      </c>
      <c r="F120" s="7">
        <v>17.14</v>
      </c>
      <c r="G120">
        <f t="shared" si="11"/>
        <v>35.708029999999994</v>
      </c>
      <c r="H120" t="s">
        <v>694</v>
      </c>
      <c r="J120" s="7">
        <f t="shared" si="17"/>
        <v>297.88</v>
      </c>
      <c r="K120">
        <f t="shared" si="10"/>
        <v>297.88</v>
      </c>
    </row>
    <row r="121" spans="1:11" x14ac:dyDescent="0.15">
      <c r="A121" s="6">
        <v>119</v>
      </c>
      <c r="B121" t="s">
        <v>138</v>
      </c>
      <c r="C121" t="s">
        <v>28</v>
      </c>
      <c r="D121" s="7">
        <v>70.89</v>
      </c>
      <c r="E121" s="7">
        <v>79.39</v>
      </c>
      <c r="F121" s="7">
        <v>7.05</v>
      </c>
      <c r="G121">
        <f t="shared" si="11"/>
        <v>35.78741999999999</v>
      </c>
      <c r="H121" t="s">
        <v>694</v>
      </c>
      <c r="J121" s="7">
        <f t="shared" si="17"/>
        <v>79.39</v>
      </c>
      <c r="K121">
        <f t="shared" si="10"/>
        <v>79.39</v>
      </c>
    </row>
    <row r="122" spans="1:11" x14ac:dyDescent="0.15">
      <c r="A122" s="6">
        <v>120</v>
      </c>
      <c r="B122" t="s">
        <v>139</v>
      </c>
      <c r="C122" t="s">
        <v>16</v>
      </c>
      <c r="D122" s="7">
        <v>220.46</v>
      </c>
      <c r="E122" s="7">
        <v>220.46</v>
      </c>
      <c r="F122" s="7">
        <v>59.16</v>
      </c>
      <c r="G122">
        <f t="shared" si="11"/>
        <v>36.007879999999993</v>
      </c>
      <c r="H122" t="s">
        <v>694</v>
      </c>
      <c r="K122">
        <f t="shared" si="10"/>
        <v>220.46</v>
      </c>
    </row>
    <row r="123" spans="1:11" x14ac:dyDescent="0.15">
      <c r="A123" s="6">
        <v>121</v>
      </c>
      <c r="B123" t="s">
        <v>140</v>
      </c>
      <c r="C123" t="s">
        <v>23</v>
      </c>
      <c r="D123" s="7">
        <v>167.52</v>
      </c>
      <c r="E123" s="7">
        <v>167.52</v>
      </c>
      <c r="F123" s="7">
        <v>1.79</v>
      </c>
      <c r="G123">
        <f t="shared" si="11"/>
        <v>36.175399999999996</v>
      </c>
      <c r="H123" t="s">
        <v>694</v>
      </c>
      <c r="K123">
        <f t="shared" si="10"/>
        <v>167.52</v>
      </c>
    </row>
    <row r="124" spans="1:11" x14ac:dyDescent="0.15">
      <c r="A124" s="6">
        <v>122</v>
      </c>
      <c r="B124" t="s">
        <v>141</v>
      </c>
      <c r="C124" t="s">
        <v>14</v>
      </c>
      <c r="D124" s="7">
        <v>262.85000000000002</v>
      </c>
      <c r="E124" s="7">
        <v>271.35000000000002</v>
      </c>
      <c r="F124" s="7">
        <v>37.65</v>
      </c>
      <c r="G124">
        <f t="shared" si="11"/>
        <v>36.446749999999994</v>
      </c>
      <c r="H124" t="s">
        <v>694</v>
      </c>
      <c r="J124" s="7">
        <f t="shared" ref="J124:J125" si="18">D124+8.5</f>
        <v>271.35000000000002</v>
      </c>
      <c r="K124">
        <f t="shared" si="10"/>
        <v>271.35000000000002</v>
      </c>
    </row>
    <row r="125" spans="1:11" x14ac:dyDescent="0.15">
      <c r="A125" s="6">
        <v>123</v>
      </c>
      <c r="B125" t="s">
        <v>142</v>
      </c>
      <c r="C125" t="s">
        <v>28</v>
      </c>
      <c r="D125" s="7">
        <v>187.71</v>
      </c>
      <c r="E125" s="7">
        <v>196.21</v>
      </c>
      <c r="F125" s="7">
        <v>11.95</v>
      </c>
      <c r="G125">
        <f t="shared" si="11"/>
        <v>36.642959999999995</v>
      </c>
      <c r="H125" t="s">
        <v>694</v>
      </c>
      <c r="J125" s="7">
        <f t="shared" si="18"/>
        <v>196.21</v>
      </c>
      <c r="K125">
        <f t="shared" si="10"/>
        <v>196.21</v>
      </c>
    </row>
    <row r="126" spans="1:11" x14ac:dyDescent="0.15">
      <c r="A126" s="6">
        <v>124</v>
      </c>
      <c r="B126" t="s">
        <v>143</v>
      </c>
      <c r="C126" t="s">
        <v>23</v>
      </c>
      <c r="D126" s="7">
        <v>293.95999999999998</v>
      </c>
      <c r="E126" s="7">
        <v>293.95999999999998</v>
      </c>
      <c r="F126" s="7">
        <v>1.25</v>
      </c>
      <c r="G126">
        <f t="shared" si="11"/>
        <v>36.936919999999994</v>
      </c>
      <c r="H126" t="s">
        <v>694</v>
      </c>
      <c r="K126">
        <f t="shared" si="10"/>
        <v>293.95999999999998</v>
      </c>
    </row>
    <row r="127" spans="1:11" x14ac:dyDescent="0.15">
      <c r="A127" s="6">
        <v>125</v>
      </c>
      <c r="B127" t="s">
        <v>144</v>
      </c>
      <c r="C127" t="s">
        <v>23</v>
      </c>
      <c r="D127" s="7">
        <v>96.24</v>
      </c>
      <c r="E127" s="7">
        <v>96.24</v>
      </c>
      <c r="F127" s="7">
        <v>1.57</v>
      </c>
      <c r="G127">
        <f t="shared" si="11"/>
        <v>37.033159999999995</v>
      </c>
      <c r="H127" t="s">
        <v>694</v>
      </c>
      <c r="K127">
        <f t="shared" si="10"/>
        <v>96.24</v>
      </c>
    </row>
    <row r="128" spans="1:11" x14ac:dyDescent="0.15">
      <c r="A128" s="6">
        <v>126</v>
      </c>
      <c r="B128" t="s">
        <v>145</v>
      </c>
      <c r="C128" t="s">
        <v>23</v>
      </c>
      <c r="D128" s="7">
        <v>131.08000000000001</v>
      </c>
      <c r="E128" s="7">
        <v>131.08000000000001</v>
      </c>
      <c r="F128" s="7">
        <v>18.39</v>
      </c>
      <c r="G128">
        <f t="shared" si="11"/>
        <v>37.164239999999992</v>
      </c>
      <c r="H128" t="s">
        <v>694</v>
      </c>
      <c r="K128">
        <f t="shared" si="10"/>
        <v>131.08000000000001</v>
      </c>
    </row>
    <row r="129" spans="1:11" x14ac:dyDescent="0.15">
      <c r="A129" s="6">
        <v>127</v>
      </c>
      <c r="B129" t="s">
        <v>146</v>
      </c>
      <c r="C129" t="s">
        <v>14</v>
      </c>
      <c r="D129" s="7">
        <v>330.16</v>
      </c>
      <c r="E129" s="7">
        <v>338.66</v>
      </c>
      <c r="F129" s="7">
        <v>65.099999999999994</v>
      </c>
      <c r="G129">
        <f t="shared" si="11"/>
        <v>37.50289999999999</v>
      </c>
      <c r="H129" t="s">
        <v>694</v>
      </c>
      <c r="J129" s="7">
        <f t="shared" ref="J129:J130" si="19">D129+8.5</f>
        <v>338.66</v>
      </c>
      <c r="K129">
        <f t="shared" si="10"/>
        <v>338.66</v>
      </c>
    </row>
    <row r="130" spans="1:11" x14ac:dyDescent="0.15">
      <c r="A130" s="6">
        <v>128</v>
      </c>
      <c r="B130" t="s">
        <v>147</v>
      </c>
      <c r="C130" t="s">
        <v>28</v>
      </c>
      <c r="D130" s="7">
        <v>283.88</v>
      </c>
      <c r="E130" s="7">
        <v>292.38</v>
      </c>
      <c r="F130" s="7">
        <v>23.3</v>
      </c>
      <c r="G130">
        <f t="shared" si="11"/>
        <v>37.795279999999991</v>
      </c>
      <c r="H130" t="s">
        <v>694</v>
      </c>
      <c r="J130" s="7">
        <f t="shared" si="19"/>
        <v>292.38</v>
      </c>
      <c r="K130">
        <f t="shared" si="10"/>
        <v>292.38</v>
      </c>
    </row>
    <row r="131" spans="1:11" x14ac:dyDescent="0.15">
      <c r="A131" s="6">
        <v>129</v>
      </c>
      <c r="B131" t="s">
        <v>148</v>
      </c>
      <c r="C131" t="s">
        <v>23</v>
      </c>
      <c r="D131" s="7">
        <v>262.10000000000002</v>
      </c>
      <c r="E131" s="7">
        <v>262.10000000000002</v>
      </c>
      <c r="F131" s="7">
        <v>1.78</v>
      </c>
      <c r="G131">
        <f t="shared" si="11"/>
        <v>38.057379999999988</v>
      </c>
      <c r="H131" t="s">
        <v>694</v>
      </c>
      <c r="K131">
        <f t="shared" ref="K131:K194" si="20">IF(J131&lt;&gt;"",J131,D131)</f>
        <v>262.10000000000002</v>
      </c>
    </row>
    <row r="132" spans="1:11" x14ac:dyDescent="0.15">
      <c r="A132" s="6">
        <v>130</v>
      </c>
      <c r="B132" t="s">
        <v>149</v>
      </c>
      <c r="C132" t="s">
        <v>23</v>
      </c>
      <c r="D132" s="7">
        <v>304.48</v>
      </c>
      <c r="E132" s="7">
        <v>304.48</v>
      </c>
      <c r="F132" s="7">
        <v>1.33</v>
      </c>
      <c r="G132">
        <f t="shared" ref="G132:G195" si="21">E132/1000+G131</f>
        <v>38.361859999999986</v>
      </c>
      <c r="H132" t="s">
        <v>694</v>
      </c>
      <c r="K132">
        <f t="shared" si="20"/>
        <v>304.48</v>
      </c>
    </row>
    <row r="133" spans="1:11" x14ac:dyDescent="0.15">
      <c r="A133" s="6">
        <v>131</v>
      </c>
      <c r="B133" t="s">
        <v>150</v>
      </c>
      <c r="C133" t="s">
        <v>23</v>
      </c>
      <c r="D133" s="7">
        <v>286.94</v>
      </c>
      <c r="E133" s="7">
        <v>286.94</v>
      </c>
      <c r="F133" s="7">
        <v>2.52</v>
      </c>
      <c r="G133">
        <f t="shared" si="21"/>
        <v>38.648799999999987</v>
      </c>
      <c r="H133" t="s">
        <v>694</v>
      </c>
      <c r="K133">
        <f t="shared" si="20"/>
        <v>286.94</v>
      </c>
    </row>
    <row r="134" spans="1:11" x14ac:dyDescent="0.15">
      <c r="A134" s="6">
        <v>132</v>
      </c>
      <c r="B134" t="s">
        <v>151</v>
      </c>
      <c r="C134" t="s">
        <v>23</v>
      </c>
      <c r="D134" s="7">
        <v>324.37</v>
      </c>
      <c r="E134" s="7">
        <v>324.37</v>
      </c>
      <c r="F134" s="7">
        <v>4.43</v>
      </c>
      <c r="G134">
        <f t="shared" si="21"/>
        <v>38.973169999999989</v>
      </c>
      <c r="H134" t="s">
        <v>694</v>
      </c>
      <c r="K134">
        <f t="shared" si="20"/>
        <v>324.37</v>
      </c>
    </row>
    <row r="135" spans="1:11" x14ac:dyDescent="0.15">
      <c r="A135" s="6">
        <v>133</v>
      </c>
      <c r="B135" t="s">
        <v>152</v>
      </c>
      <c r="C135" t="s">
        <v>23</v>
      </c>
      <c r="D135" s="7">
        <v>240.09</v>
      </c>
      <c r="E135" s="7">
        <v>240.09</v>
      </c>
      <c r="F135" s="7">
        <v>2.7</v>
      </c>
      <c r="G135">
        <f t="shared" si="21"/>
        <v>39.213259999999991</v>
      </c>
      <c r="H135" t="s">
        <v>694</v>
      </c>
      <c r="K135">
        <f t="shared" si="20"/>
        <v>240.09</v>
      </c>
    </row>
    <row r="136" spans="1:11" x14ac:dyDescent="0.15">
      <c r="A136" s="6">
        <v>134</v>
      </c>
      <c r="B136" t="s">
        <v>153</v>
      </c>
      <c r="C136" t="s">
        <v>23</v>
      </c>
      <c r="D136" s="7">
        <v>154.94999999999999</v>
      </c>
      <c r="E136" s="7">
        <v>154.94999999999999</v>
      </c>
      <c r="F136" s="7">
        <v>1.81</v>
      </c>
      <c r="G136">
        <f t="shared" si="21"/>
        <v>39.368209999999991</v>
      </c>
      <c r="H136" t="s">
        <v>694</v>
      </c>
      <c r="K136">
        <f t="shared" si="20"/>
        <v>154.94999999999999</v>
      </c>
    </row>
    <row r="137" spans="1:11" x14ac:dyDescent="0.15">
      <c r="A137" s="6">
        <v>135</v>
      </c>
      <c r="B137" t="s">
        <v>154</v>
      </c>
      <c r="C137" t="s">
        <v>23</v>
      </c>
      <c r="D137" s="7">
        <v>220.83</v>
      </c>
      <c r="E137" s="7">
        <v>220.83</v>
      </c>
      <c r="F137" s="7">
        <v>10.06</v>
      </c>
      <c r="G137">
        <f t="shared" si="21"/>
        <v>39.58903999999999</v>
      </c>
      <c r="H137" t="s">
        <v>694</v>
      </c>
      <c r="K137">
        <f t="shared" si="20"/>
        <v>220.83</v>
      </c>
    </row>
    <row r="138" spans="1:11" x14ac:dyDescent="0.15">
      <c r="A138" s="6">
        <v>136</v>
      </c>
      <c r="B138" t="s">
        <v>155</v>
      </c>
      <c r="C138" t="s">
        <v>23</v>
      </c>
      <c r="D138" s="7">
        <v>259.63</v>
      </c>
      <c r="E138" s="7">
        <v>259.63</v>
      </c>
      <c r="F138" s="7">
        <v>0.21</v>
      </c>
      <c r="G138">
        <f t="shared" si="21"/>
        <v>39.848669999999991</v>
      </c>
      <c r="H138" t="s">
        <v>694</v>
      </c>
      <c r="K138">
        <f t="shared" si="20"/>
        <v>259.63</v>
      </c>
    </row>
    <row r="139" spans="1:11" x14ac:dyDescent="0.15">
      <c r="A139" s="6">
        <v>137</v>
      </c>
      <c r="B139" t="s">
        <v>156</v>
      </c>
      <c r="C139" t="s">
        <v>23</v>
      </c>
      <c r="D139" s="7">
        <v>226.2</v>
      </c>
      <c r="E139" s="7">
        <v>226.2</v>
      </c>
      <c r="F139" s="7">
        <v>1.63</v>
      </c>
      <c r="G139">
        <f t="shared" si="21"/>
        <v>40.07486999999999</v>
      </c>
      <c r="H139" t="s">
        <v>694</v>
      </c>
      <c r="K139">
        <f t="shared" si="20"/>
        <v>226.2</v>
      </c>
    </row>
    <row r="140" spans="1:11" x14ac:dyDescent="0.15">
      <c r="A140" s="6">
        <v>138</v>
      </c>
      <c r="B140" t="s">
        <v>157</v>
      </c>
      <c r="C140" t="s">
        <v>23</v>
      </c>
      <c r="D140" s="7">
        <v>303.19</v>
      </c>
      <c r="E140" s="7">
        <v>303.19</v>
      </c>
      <c r="F140" s="7">
        <v>9.81</v>
      </c>
      <c r="G140">
        <f t="shared" si="21"/>
        <v>40.378059999999991</v>
      </c>
      <c r="H140" t="s">
        <v>694</v>
      </c>
      <c r="K140">
        <f t="shared" si="20"/>
        <v>303.19</v>
      </c>
    </row>
    <row r="141" spans="1:11" x14ac:dyDescent="0.15">
      <c r="A141" s="6">
        <v>139</v>
      </c>
      <c r="B141" t="s">
        <v>158</v>
      </c>
      <c r="C141" t="s">
        <v>23</v>
      </c>
      <c r="D141" s="7">
        <v>358.44</v>
      </c>
      <c r="E141" s="7">
        <v>358.44</v>
      </c>
      <c r="F141" s="7">
        <v>0.41</v>
      </c>
      <c r="G141">
        <f t="shared" si="21"/>
        <v>40.736499999999992</v>
      </c>
      <c r="H141" t="s">
        <v>694</v>
      </c>
      <c r="K141">
        <f t="shared" si="20"/>
        <v>358.44</v>
      </c>
    </row>
    <row r="142" spans="1:11" x14ac:dyDescent="0.15">
      <c r="A142" s="6">
        <v>140</v>
      </c>
      <c r="B142" t="s">
        <v>159</v>
      </c>
      <c r="C142" t="s">
        <v>23</v>
      </c>
      <c r="D142" s="7">
        <v>326.33999999999997</v>
      </c>
      <c r="E142" s="7">
        <v>326.33999999999997</v>
      </c>
      <c r="F142" s="7">
        <v>1.08</v>
      </c>
      <c r="G142">
        <f t="shared" si="21"/>
        <v>41.062839999999994</v>
      </c>
      <c r="H142" t="s">
        <v>694</v>
      </c>
      <c r="K142">
        <f t="shared" si="20"/>
        <v>326.33999999999997</v>
      </c>
    </row>
    <row r="143" spans="1:11" x14ac:dyDescent="0.15">
      <c r="A143" s="6">
        <v>141</v>
      </c>
      <c r="B143" t="s">
        <v>160</v>
      </c>
      <c r="C143" t="s">
        <v>23</v>
      </c>
      <c r="D143" s="7">
        <v>336.79</v>
      </c>
      <c r="E143" s="7">
        <v>336.79</v>
      </c>
      <c r="F143" s="7">
        <v>1.59</v>
      </c>
      <c r="G143">
        <f t="shared" si="21"/>
        <v>41.399629999999995</v>
      </c>
      <c r="H143" t="s">
        <v>694</v>
      </c>
      <c r="K143">
        <f t="shared" si="20"/>
        <v>336.79</v>
      </c>
    </row>
    <row r="144" spans="1:11" x14ac:dyDescent="0.15">
      <c r="A144" s="6">
        <v>142</v>
      </c>
      <c r="B144" t="s">
        <v>161</v>
      </c>
      <c r="C144" t="s">
        <v>23</v>
      </c>
      <c r="D144" s="7">
        <v>277.26</v>
      </c>
      <c r="E144" s="7">
        <v>277.26</v>
      </c>
      <c r="F144" s="7">
        <v>1.1100000000000001</v>
      </c>
      <c r="G144">
        <f t="shared" si="21"/>
        <v>41.676889999999993</v>
      </c>
      <c r="H144" t="s">
        <v>694</v>
      </c>
      <c r="K144">
        <f t="shared" si="20"/>
        <v>277.26</v>
      </c>
    </row>
    <row r="145" spans="1:11" x14ac:dyDescent="0.15">
      <c r="A145" s="6">
        <v>143</v>
      </c>
      <c r="B145" t="s">
        <v>162</v>
      </c>
      <c r="C145" t="s">
        <v>23</v>
      </c>
      <c r="D145" s="7">
        <v>308.5</v>
      </c>
      <c r="E145" s="7">
        <v>308.5</v>
      </c>
      <c r="F145" s="7">
        <v>1.02</v>
      </c>
      <c r="G145">
        <f t="shared" si="21"/>
        <v>41.985389999999995</v>
      </c>
      <c r="H145" t="s">
        <v>694</v>
      </c>
      <c r="K145">
        <f t="shared" si="20"/>
        <v>308.5</v>
      </c>
    </row>
    <row r="146" spans="1:11" x14ac:dyDescent="0.15">
      <c r="A146" s="6">
        <v>144</v>
      </c>
      <c r="B146" t="s">
        <v>163</v>
      </c>
      <c r="C146" t="s">
        <v>23</v>
      </c>
      <c r="D146" s="7">
        <v>212.72</v>
      </c>
      <c r="E146" s="7">
        <v>212.72</v>
      </c>
      <c r="F146" s="7">
        <v>0.88</v>
      </c>
      <c r="G146">
        <f t="shared" si="21"/>
        <v>42.198109999999993</v>
      </c>
      <c r="H146" t="s">
        <v>694</v>
      </c>
      <c r="K146">
        <f t="shared" si="20"/>
        <v>212.72</v>
      </c>
    </row>
    <row r="147" spans="1:11" x14ac:dyDescent="0.15">
      <c r="A147" s="6">
        <v>145</v>
      </c>
      <c r="B147" t="s">
        <v>164</v>
      </c>
      <c r="C147" t="s">
        <v>19</v>
      </c>
      <c r="D147" s="7">
        <v>287.7</v>
      </c>
      <c r="E147" s="7">
        <v>296.2</v>
      </c>
      <c r="F147" s="7">
        <v>49.28</v>
      </c>
      <c r="G147">
        <f t="shared" si="21"/>
        <v>42.494309999999992</v>
      </c>
      <c r="H147" t="s">
        <v>694</v>
      </c>
      <c r="J147" s="7">
        <f>D147+8.5</f>
        <v>296.2</v>
      </c>
      <c r="K147">
        <f t="shared" si="20"/>
        <v>296.2</v>
      </c>
    </row>
    <row r="148" spans="1:11" x14ac:dyDescent="0.15">
      <c r="A148" s="6">
        <v>146</v>
      </c>
      <c r="B148" t="s">
        <v>165</v>
      </c>
      <c r="C148" t="s">
        <v>23</v>
      </c>
      <c r="D148" s="7">
        <v>216.9</v>
      </c>
      <c r="E148" s="7">
        <v>216.9</v>
      </c>
      <c r="F148" s="7">
        <v>1.49</v>
      </c>
      <c r="G148">
        <f t="shared" si="21"/>
        <v>42.711209999999994</v>
      </c>
      <c r="H148" t="s">
        <v>694</v>
      </c>
      <c r="K148">
        <f t="shared" si="20"/>
        <v>216.9</v>
      </c>
    </row>
    <row r="149" spans="1:11" x14ac:dyDescent="0.15">
      <c r="A149" s="6">
        <v>147</v>
      </c>
      <c r="B149" t="s">
        <v>166</v>
      </c>
      <c r="C149" t="s">
        <v>19</v>
      </c>
      <c r="D149" s="7">
        <v>102.43</v>
      </c>
      <c r="E149" s="7">
        <v>110.93</v>
      </c>
      <c r="F149" s="7">
        <v>25.93</v>
      </c>
      <c r="G149">
        <f t="shared" si="21"/>
        <v>42.822139999999997</v>
      </c>
      <c r="H149" t="s">
        <v>694</v>
      </c>
      <c r="J149" s="7">
        <f t="shared" ref="J149:J150" si="22">D149+8.5</f>
        <v>110.93</v>
      </c>
      <c r="K149">
        <f t="shared" si="20"/>
        <v>110.93</v>
      </c>
    </row>
    <row r="150" spans="1:11" x14ac:dyDescent="0.15">
      <c r="A150" s="6">
        <v>148</v>
      </c>
      <c r="B150" t="s">
        <v>167</v>
      </c>
      <c r="C150" t="s">
        <v>19</v>
      </c>
      <c r="D150" s="7">
        <v>327.35000000000002</v>
      </c>
      <c r="E150" s="7">
        <v>335.85</v>
      </c>
      <c r="F150" s="7">
        <v>42.58</v>
      </c>
      <c r="G150">
        <f t="shared" si="21"/>
        <v>43.157989999999998</v>
      </c>
      <c r="H150" t="s">
        <v>694</v>
      </c>
      <c r="J150" s="7">
        <f t="shared" si="22"/>
        <v>335.85</v>
      </c>
      <c r="K150">
        <f t="shared" si="20"/>
        <v>335.85</v>
      </c>
    </row>
    <row r="151" spans="1:11" x14ac:dyDescent="0.15">
      <c r="A151" s="6">
        <v>149</v>
      </c>
      <c r="B151" t="s">
        <v>168</v>
      </c>
      <c r="C151" t="s">
        <v>23</v>
      </c>
      <c r="D151" s="7">
        <v>392.22</v>
      </c>
      <c r="E151" s="7">
        <v>392.22</v>
      </c>
      <c r="F151" s="7">
        <v>6.74</v>
      </c>
      <c r="G151">
        <f t="shared" si="21"/>
        <v>43.55021</v>
      </c>
      <c r="H151" t="s">
        <v>694</v>
      </c>
      <c r="K151">
        <f t="shared" si="20"/>
        <v>392.22</v>
      </c>
    </row>
    <row r="152" spans="1:11" x14ac:dyDescent="0.15">
      <c r="A152" s="6">
        <v>150</v>
      </c>
      <c r="B152" t="s">
        <v>169</v>
      </c>
      <c r="C152" t="s">
        <v>23</v>
      </c>
      <c r="D152" s="7">
        <v>314.45</v>
      </c>
      <c r="E152" s="7">
        <v>314.45</v>
      </c>
      <c r="F152" s="7">
        <v>0.56000000000000005</v>
      </c>
      <c r="G152">
        <f t="shared" si="21"/>
        <v>43.864660000000001</v>
      </c>
      <c r="H152" t="s">
        <v>694</v>
      </c>
      <c r="K152">
        <f t="shared" si="20"/>
        <v>314.45</v>
      </c>
    </row>
    <row r="153" spans="1:11" x14ac:dyDescent="0.15">
      <c r="A153" s="6">
        <v>151</v>
      </c>
      <c r="B153" t="s">
        <v>170</v>
      </c>
      <c r="C153" t="s">
        <v>23</v>
      </c>
      <c r="D153" s="7">
        <v>282.02</v>
      </c>
      <c r="E153" s="7">
        <v>282.02</v>
      </c>
      <c r="F153" s="7">
        <v>0.62</v>
      </c>
      <c r="G153">
        <f t="shared" si="21"/>
        <v>44.146680000000003</v>
      </c>
      <c r="H153" t="s">
        <v>694</v>
      </c>
      <c r="K153">
        <f t="shared" si="20"/>
        <v>282.02</v>
      </c>
    </row>
    <row r="154" spans="1:11" x14ac:dyDescent="0.15">
      <c r="A154" s="6">
        <v>152</v>
      </c>
      <c r="B154" t="s">
        <v>171</v>
      </c>
      <c r="C154" t="s">
        <v>23</v>
      </c>
      <c r="D154" s="7">
        <v>305.05</v>
      </c>
      <c r="E154" s="7">
        <v>305.05</v>
      </c>
      <c r="F154" s="7">
        <v>0.28000000000000003</v>
      </c>
      <c r="G154">
        <f t="shared" si="21"/>
        <v>44.451730000000005</v>
      </c>
      <c r="H154" t="s">
        <v>694</v>
      </c>
      <c r="K154">
        <f t="shared" si="20"/>
        <v>305.05</v>
      </c>
    </row>
    <row r="155" spans="1:11" x14ac:dyDescent="0.15">
      <c r="A155" s="6">
        <v>153</v>
      </c>
      <c r="B155" t="s">
        <v>172</v>
      </c>
      <c r="C155" t="s">
        <v>19</v>
      </c>
      <c r="D155" s="7">
        <v>215.3</v>
      </c>
      <c r="E155" s="7">
        <v>223.8</v>
      </c>
      <c r="F155" s="7">
        <v>34.880000000000003</v>
      </c>
      <c r="G155">
        <f t="shared" si="21"/>
        <v>44.675530000000002</v>
      </c>
      <c r="H155" t="s">
        <v>694</v>
      </c>
      <c r="J155" s="7">
        <f>D155+8.5</f>
        <v>223.8</v>
      </c>
      <c r="K155">
        <f t="shared" si="20"/>
        <v>223.8</v>
      </c>
    </row>
    <row r="156" spans="1:11" x14ac:dyDescent="0.15">
      <c r="A156" s="6">
        <v>154</v>
      </c>
      <c r="B156" t="s">
        <v>173</v>
      </c>
      <c r="C156" t="s">
        <v>23</v>
      </c>
      <c r="D156" s="7">
        <v>411.74</v>
      </c>
      <c r="E156" s="7">
        <v>411.74</v>
      </c>
      <c r="F156" s="7">
        <v>0.79</v>
      </c>
      <c r="G156">
        <f t="shared" si="21"/>
        <v>45.087270000000004</v>
      </c>
      <c r="H156" t="s">
        <v>694</v>
      </c>
      <c r="K156">
        <f t="shared" si="20"/>
        <v>411.74</v>
      </c>
    </row>
    <row r="157" spans="1:11" x14ac:dyDescent="0.15">
      <c r="A157" s="6">
        <v>155</v>
      </c>
      <c r="B157" t="s">
        <v>174</v>
      </c>
      <c r="C157" t="s">
        <v>23</v>
      </c>
      <c r="D157" s="7">
        <v>151.93</v>
      </c>
      <c r="E157" s="7">
        <v>151.93</v>
      </c>
      <c r="F157" s="7">
        <v>0.2</v>
      </c>
      <c r="G157">
        <f t="shared" si="21"/>
        <v>45.239200000000004</v>
      </c>
      <c r="H157" t="s">
        <v>694</v>
      </c>
      <c r="K157">
        <f t="shared" si="20"/>
        <v>151.93</v>
      </c>
    </row>
    <row r="158" spans="1:11" x14ac:dyDescent="0.15">
      <c r="A158" s="6">
        <v>156</v>
      </c>
      <c r="B158" t="s">
        <v>175</v>
      </c>
      <c r="C158" t="s">
        <v>23</v>
      </c>
      <c r="D158" s="7">
        <v>249.15</v>
      </c>
      <c r="E158" s="7">
        <v>249.15</v>
      </c>
      <c r="F158" s="7">
        <v>1.73</v>
      </c>
      <c r="G158">
        <f t="shared" si="21"/>
        <v>45.488350000000004</v>
      </c>
      <c r="H158" t="s">
        <v>694</v>
      </c>
      <c r="K158">
        <f t="shared" si="20"/>
        <v>249.15</v>
      </c>
    </row>
    <row r="159" spans="1:11" x14ac:dyDescent="0.15">
      <c r="A159" s="6">
        <v>157</v>
      </c>
      <c r="B159" t="s">
        <v>176</v>
      </c>
      <c r="C159" t="s">
        <v>14</v>
      </c>
      <c r="D159" s="7">
        <v>249.76</v>
      </c>
      <c r="E159" s="7">
        <v>258.26</v>
      </c>
      <c r="F159" s="7">
        <v>39.94</v>
      </c>
      <c r="G159">
        <f t="shared" si="21"/>
        <v>45.746610000000004</v>
      </c>
      <c r="H159" t="s">
        <v>694</v>
      </c>
      <c r="J159" s="7">
        <f t="shared" ref="J159:J160" si="23">D159+8.5</f>
        <v>258.26</v>
      </c>
      <c r="K159">
        <f t="shared" si="20"/>
        <v>258.26</v>
      </c>
    </row>
    <row r="160" spans="1:11" x14ac:dyDescent="0.15">
      <c r="A160" s="6">
        <v>158</v>
      </c>
      <c r="B160" t="s">
        <v>177</v>
      </c>
      <c r="C160" t="s">
        <v>28</v>
      </c>
      <c r="D160" s="7">
        <v>294.18</v>
      </c>
      <c r="E160" s="7">
        <v>302.68</v>
      </c>
      <c r="F160" s="7">
        <v>9.42</v>
      </c>
      <c r="G160">
        <f t="shared" si="21"/>
        <v>46.049290000000006</v>
      </c>
      <c r="H160" t="s">
        <v>694</v>
      </c>
      <c r="J160" s="7">
        <f t="shared" si="23"/>
        <v>302.68</v>
      </c>
      <c r="K160">
        <f t="shared" si="20"/>
        <v>302.68</v>
      </c>
    </row>
    <row r="161" spans="1:11" x14ac:dyDescent="0.15">
      <c r="A161" s="6">
        <v>159</v>
      </c>
      <c r="B161" t="s">
        <v>178</v>
      </c>
      <c r="C161" t="s">
        <v>23</v>
      </c>
      <c r="D161" s="7">
        <v>315.58999999999997</v>
      </c>
      <c r="E161" s="7">
        <v>315.58999999999997</v>
      </c>
      <c r="F161" s="7">
        <v>0.28000000000000003</v>
      </c>
      <c r="G161">
        <f t="shared" si="21"/>
        <v>46.364880000000007</v>
      </c>
      <c r="H161" t="s">
        <v>694</v>
      </c>
      <c r="K161">
        <f t="shared" si="20"/>
        <v>315.58999999999997</v>
      </c>
    </row>
    <row r="162" spans="1:11" x14ac:dyDescent="0.15">
      <c r="A162" s="6">
        <v>160</v>
      </c>
      <c r="B162" t="s">
        <v>179</v>
      </c>
      <c r="C162" t="s">
        <v>23</v>
      </c>
      <c r="D162" s="7">
        <v>351.04</v>
      </c>
      <c r="E162" s="7">
        <v>351.04</v>
      </c>
      <c r="F162" s="7">
        <v>1.07</v>
      </c>
      <c r="G162">
        <f t="shared" si="21"/>
        <v>46.715920000000004</v>
      </c>
      <c r="H162" t="s">
        <v>694</v>
      </c>
      <c r="K162">
        <f t="shared" si="20"/>
        <v>351.04</v>
      </c>
    </row>
    <row r="163" spans="1:11" x14ac:dyDescent="0.15">
      <c r="A163" s="6">
        <v>161</v>
      </c>
      <c r="B163" t="s">
        <v>180</v>
      </c>
      <c r="C163" t="s">
        <v>19</v>
      </c>
      <c r="D163" s="7">
        <v>344.34</v>
      </c>
      <c r="E163" s="7">
        <v>352.84</v>
      </c>
      <c r="F163" s="7">
        <v>25.62</v>
      </c>
      <c r="G163">
        <f t="shared" si="21"/>
        <v>47.068760000000005</v>
      </c>
      <c r="H163" t="s">
        <v>694</v>
      </c>
      <c r="J163" s="7">
        <f t="shared" ref="J163:J164" si="24">D163+8.5</f>
        <v>352.84</v>
      </c>
      <c r="K163">
        <f t="shared" si="20"/>
        <v>352.84</v>
      </c>
    </row>
    <row r="164" spans="1:11" x14ac:dyDescent="0.15">
      <c r="A164" s="6">
        <v>162</v>
      </c>
      <c r="B164" t="s">
        <v>681</v>
      </c>
      <c r="C164" t="s">
        <v>19</v>
      </c>
      <c r="D164" s="7">
        <v>322.43</v>
      </c>
      <c r="E164" s="7">
        <v>330.93</v>
      </c>
      <c r="F164" s="7">
        <v>24.92</v>
      </c>
      <c r="G164">
        <f t="shared" si="21"/>
        <v>47.399690000000007</v>
      </c>
      <c r="H164" t="s">
        <v>694</v>
      </c>
      <c r="J164" s="7">
        <f t="shared" si="24"/>
        <v>330.93</v>
      </c>
      <c r="K164">
        <f t="shared" si="20"/>
        <v>330.93</v>
      </c>
    </row>
    <row r="165" spans="1:11" x14ac:dyDescent="0.15">
      <c r="A165" s="6">
        <v>163</v>
      </c>
      <c r="B165" t="s">
        <v>182</v>
      </c>
      <c r="C165" t="s">
        <v>23</v>
      </c>
      <c r="D165" s="7">
        <v>258.38</v>
      </c>
      <c r="E165" s="7">
        <v>258.38</v>
      </c>
      <c r="F165" s="7">
        <v>1.06</v>
      </c>
      <c r="G165">
        <f t="shared" si="21"/>
        <v>47.658070000000009</v>
      </c>
      <c r="H165" t="s">
        <v>694</v>
      </c>
      <c r="K165">
        <f t="shared" si="20"/>
        <v>258.38</v>
      </c>
    </row>
    <row r="166" spans="1:11" x14ac:dyDescent="0.15">
      <c r="A166" s="6">
        <v>164</v>
      </c>
      <c r="B166" t="s">
        <v>183</v>
      </c>
      <c r="C166" t="s">
        <v>23</v>
      </c>
      <c r="D166" s="7">
        <v>302.04000000000002</v>
      </c>
      <c r="E166" s="7">
        <v>302.04000000000002</v>
      </c>
      <c r="F166" s="7">
        <v>0.98</v>
      </c>
      <c r="G166">
        <f t="shared" si="21"/>
        <v>47.960110000000007</v>
      </c>
      <c r="H166" t="s">
        <v>694</v>
      </c>
      <c r="K166">
        <f t="shared" si="20"/>
        <v>302.04000000000002</v>
      </c>
    </row>
    <row r="167" spans="1:11" x14ac:dyDescent="0.15">
      <c r="A167" s="6">
        <v>165</v>
      </c>
      <c r="B167" t="s">
        <v>184</v>
      </c>
      <c r="C167" t="s">
        <v>19</v>
      </c>
      <c r="D167" s="7">
        <v>261.37</v>
      </c>
      <c r="E167" s="7">
        <v>269.87</v>
      </c>
      <c r="F167" s="7">
        <v>19.84</v>
      </c>
      <c r="G167">
        <f t="shared" si="21"/>
        <v>48.229980000000005</v>
      </c>
      <c r="H167" t="s">
        <v>694</v>
      </c>
      <c r="J167" s="7">
        <f>D167+8.5</f>
        <v>269.87</v>
      </c>
      <c r="K167">
        <f t="shared" si="20"/>
        <v>269.87</v>
      </c>
    </row>
    <row r="168" spans="1:11" x14ac:dyDescent="0.15">
      <c r="A168" s="6">
        <v>166</v>
      </c>
      <c r="B168" t="s">
        <v>185</v>
      </c>
      <c r="C168" t="s">
        <v>23</v>
      </c>
      <c r="D168" s="7">
        <v>269.32</v>
      </c>
      <c r="E168" s="7">
        <v>269.32</v>
      </c>
      <c r="F168" s="7">
        <v>1.1200000000000001</v>
      </c>
      <c r="G168">
        <f t="shared" si="21"/>
        <v>48.499300000000005</v>
      </c>
      <c r="H168" t="s">
        <v>694</v>
      </c>
      <c r="K168">
        <f t="shared" si="20"/>
        <v>269.32</v>
      </c>
    </row>
    <row r="169" spans="1:11" x14ac:dyDescent="0.15">
      <c r="A169" s="6">
        <v>167</v>
      </c>
      <c r="B169" t="s">
        <v>186</v>
      </c>
      <c r="C169" t="s">
        <v>14</v>
      </c>
      <c r="D169" s="7">
        <v>273.3</v>
      </c>
      <c r="E169" s="7">
        <v>281.8</v>
      </c>
      <c r="F169" s="7">
        <v>35.33</v>
      </c>
      <c r="G169">
        <f t="shared" si="21"/>
        <v>48.781100000000002</v>
      </c>
      <c r="H169" t="s">
        <v>694</v>
      </c>
      <c r="J169" s="7">
        <f>D169+8.5</f>
        <v>281.8</v>
      </c>
      <c r="K169">
        <f t="shared" si="20"/>
        <v>281.8</v>
      </c>
    </row>
    <row r="170" spans="1:11" x14ac:dyDescent="0.15">
      <c r="A170" s="6">
        <v>168</v>
      </c>
      <c r="B170" t="s">
        <v>187</v>
      </c>
      <c r="C170" t="s">
        <v>23</v>
      </c>
      <c r="D170" s="7">
        <v>270.20999999999998</v>
      </c>
      <c r="E170" s="7">
        <v>270.20999999999998</v>
      </c>
      <c r="F170" s="7">
        <v>0.83</v>
      </c>
      <c r="G170">
        <f t="shared" si="21"/>
        <v>49.051310000000001</v>
      </c>
      <c r="H170" t="s">
        <v>694</v>
      </c>
      <c r="K170">
        <f t="shared" si="20"/>
        <v>270.20999999999998</v>
      </c>
    </row>
    <row r="171" spans="1:11" x14ac:dyDescent="0.15">
      <c r="A171" s="6">
        <v>169</v>
      </c>
      <c r="B171" t="s">
        <v>188</v>
      </c>
      <c r="C171" t="s">
        <v>23</v>
      </c>
      <c r="D171" s="7">
        <v>313.29000000000002</v>
      </c>
      <c r="E171" s="7">
        <v>313.29000000000002</v>
      </c>
      <c r="F171" s="7">
        <v>1.03</v>
      </c>
      <c r="G171">
        <f t="shared" si="21"/>
        <v>49.364600000000003</v>
      </c>
      <c r="H171" t="s">
        <v>694</v>
      </c>
      <c r="K171">
        <f t="shared" si="20"/>
        <v>313.29000000000002</v>
      </c>
    </row>
    <row r="172" spans="1:11" x14ac:dyDescent="0.15">
      <c r="A172" s="6">
        <v>170</v>
      </c>
      <c r="B172" t="s">
        <v>189</v>
      </c>
      <c r="C172" t="s">
        <v>23</v>
      </c>
      <c r="D172" s="7">
        <v>300.42</v>
      </c>
      <c r="E172" s="7">
        <v>300.42</v>
      </c>
      <c r="F172" s="7">
        <v>4.5999999999999996</v>
      </c>
      <c r="G172">
        <f t="shared" si="21"/>
        <v>49.665020000000005</v>
      </c>
      <c r="H172" t="s">
        <v>694</v>
      </c>
      <c r="K172">
        <f t="shared" si="20"/>
        <v>300.42</v>
      </c>
    </row>
    <row r="173" spans="1:11" x14ac:dyDescent="0.15">
      <c r="A173" s="6">
        <v>171</v>
      </c>
      <c r="B173" t="s">
        <v>190</v>
      </c>
      <c r="C173" t="s">
        <v>23</v>
      </c>
      <c r="D173" s="7">
        <v>316.86</v>
      </c>
      <c r="E173" s="7">
        <v>316.86</v>
      </c>
      <c r="F173" s="7">
        <v>1.54</v>
      </c>
      <c r="G173">
        <f t="shared" si="21"/>
        <v>49.981880000000004</v>
      </c>
      <c r="H173" t="s">
        <v>694</v>
      </c>
      <c r="K173">
        <f t="shared" si="20"/>
        <v>316.86</v>
      </c>
    </row>
    <row r="174" spans="1:11" x14ac:dyDescent="0.15">
      <c r="A174" s="6">
        <v>172</v>
      </c>
      <c r="B174" t="s">
        <v>191</v>
      </c>
      <c r="C174" t="s">
        <v>23</v>
      </c>
      <c r="D174" s="7">
        <v>336.62</v>
      </c>
      <c r="E174" s="7">
        <v>336.62</v>
      </c>
      <c r="F174" s="7">
        <v>1.55</v>
      </c>
      <c r="G174">
        <f t="shared" si="21"/>
        <v>50.318500000000007</v>
      </c>
      <c r="H174" t="s">
        <v>694</v>
      </c>
      <c r="K174">
        <f t="shared" si="20"/>
        <v>336.62</v>
      </c>
    </row>
    <row r="175" spans="1:11" x14ac:dyDescent="0.15">
      <c r="A175" s="6">
        <v>173</v>
      </c>
      <c r="B175" t="s">
        <v>192</v>
      </c>
      <c r="C175" t="s">
        <v>19</v>
      </c>
      <c r="D175" s="7">
        <v>278.62</v>
      </c>
      <c r="E175" s="7">
        <v>287.12</v>
      </c>
      <c r="F175" s="7">
        <v>23.69</v>
      </c>
      <c r="G175">
        <f t="shared" si="21"/>
        <v>50.605620000000009</v>
      </c>
      <c r="H175" t="s">
        <v>694</v>
      </c>
      <c r="J175" s="7">
        <f>D175+8.5</f>
        <v>287.12</v>
      </c>
      <c r="K175">
        <f t="shared" si="20"/>
        <v>287.12</v>
      </c>
    </row>
    <row r="176" spans="1:11" x14ac:dyDescent="0.15">
      <c r="A176" s="6">
        <v>174</v>
      </c>
      <c r="B176" t="s">
        <v>193</v>
      </c>
      <c r="C176" t="s">
        <v>23</v>
      </c>
      <c r="D176" s="7">
        <v>370.3</v>
      </c>
      <c r="E176" s="7">
        <v>370.3</v>
      </c>
      <c r="F176" s="7">
        <v>7.0000000000000007E-2</v>
      </c>
      <c r="G176">
        <f t="shared" si="21"/>
        <v>50.975920000000009</v>
      </c>
      <c r="H176" t="s">
        <v>694</v>
      </c>
      <c r="K176">
        <f t="shared" si="20"/>
        <v>370.3</v>
      </c>
    </row>
    <row r="177" spans="1:11" x14ac:dyDescent="0.15">
      <c r="A177" s="6">
        <v>175</v>
      </c>
      <c r="B177" t="s">
        <v>194</v>
      </c>
      <c r="C177" t="s">
        <v>14</v>
      </c>
      <c r="D177" s="7">
        <v>248.32</v>
      </c>
      <c r="E177" s="7">
        <v>256.82</v>
      </c>
      <c r="F177" s="7">
        <v>46.19</v>
      </c>
      <c r="G177">
        <f t="shared" si="21"/>
        <v>51.232740000000007</v>
      </c>
      <c r="H177" t="s">
        <v>694</v>
      </c>
      <c r="J177" s="7">
        <f>D177+8.5</f>
        <v>256.82</v>
      </c>
      <c r="K177">
        <f t="shared" si="20"/>
        <v>256.82</v>
      </c>
    </row>
    <row r="178" spans="1:11" x14ac:dyDescent="0.15">
      <c r="A178" s="6">
        <v>176</v>
      </c>
      <c r="B178" t="s">
        <v>195</v>
      </c>
      <c r="C178" t="s">
        <v>23</v>
      </c>
      <c r="D178" s="7">
        <v>211.2</v>
      </c>
      <c r="E178" s="7">
        <v>211.2</v>
      </c>
      <c r="F178" s="7">
        <v>1.01</v>
      </c>
      <c r="G178">
        <f t="shared" si="21"/>
        <v>51.443940000000005</v>
      </c>
      <c r="H178" t="s">
        <v>694</v>
      </c>
      <c r="K178">
        <f t="shared" si="20"/>
        <v>211.2</v>
      </c>
    </row>
    <row r="179" spans="1:11" x14ac:dyDescent="0.15">
      <c r="A179" s="6">
        <v>177</v>
      </c>
      <c r="B179" t="s">
        <v>196</v>
      </c>
      <c r="C179" t="s">
        <v>19</v>
      </c>
      <c r="D179" s="7">
        <v>351.88</v>
      </c>
      <c r="E179" s="7">
        <v>360.38</v>
      </c>
      <c r="F179" s="7">
        <v>27.88</v>
      </c>
      <c r="G179">
        <f t="shared" si="21"/>
        <v>51.804320000000004</v>
      </c>
      <c r="H179" t="s">
        <v>694</v>
      </c>
      <c r="J179" s="7">
        <f>D179+8.5</f>
        <v>360.38</v>
      </c>
      <c r="K179">
        <f t="shared" si="20"/>
        <v>360.38</v>
      </c>
    </row>
    <row r="180" spans="1:11" x14ac:dyDescent="0.15">
      <c r="A180" s="6">
        <v>178</v>
      </c>
      <c r="B180" t="s">
        <v>197</v>
      </c>
      <c r="C180" t="s">
        <v>23</v>
      </c>
      <c r="D180" s="7">
        <v>311.04000000000002</v>
      </c>
      <c r="E180" s="7">
        <v>311.04000000000002</v>
      </c>
      <c r="F180" s="7">
        <v>0.14000000000000001</v>
      </c>
      <c r="G180">
        <f t="shared" si="21"/>
        <v>52.115360000000003</v>
      </c>
      <c r="H180" t="s">
        <v>694</v>
      </c>
      <c r="K180">
        <f t="shared" si="20"/>
        <v>311.04000000000002</v>
      </c>
    </row>
    <row r="181" spans="1:11" x14ac:dyDescent="0.15">
      <c r="A181" s="6">
        <v>179</v>
      </c>
      <c r="B181" t="s">
        <v>198</v>
      </c>
      <c r="C181" t="s">
        <v>23</v>
      </c>
      <c r="D181" s="7">
        <v>351.65</v>
      </c>
      <c r="E181" s="7">
        <v>351.65</v>
      </c>
      <c r="F181" s="7">
        <v>1.19</v>
      </c>
      <c r="G181">
        <f t="shared" si="21"/>
        <v>52.467010000000002</v>
      </c>
      <c r="H181" t="s">
        <v>694</v>
      </c>
      <c r="K181">
        <f t="shared" si="20"/>
        <v>351.65</v>
      </c>
    </row>
    <row r="182" spans="1:11" x14ac:dyDescent="0.15">
      <c r="A182" s="6">
        <v>180</v>
      </c>
      <c r="B182" t="s">
        <v>199</v>
      </c>
      <c r="C182" t="s">
        <v>23</v>
      </c>
      <c r="D182" s="7">
        <v>250.39</v>
      </c>
      <c r="E182" s="7">
        <v>250.39</v>
      </c>
      <c r="F182" s="7">
        <v>1.55</v>
      </c>
      <c r="G182">
        <f t="shared" si="21"/>
        <v>52.717400000000005</v>
      </c>
      <c r="H182" t="s">
        <v>694</v>
      </c>
      <c r="K182">
        <f t="shared" si="20"/>
        <v>250.39</v>
      </c>
    </row>
    <row r="183" spans="1:11" x14ac:dyDescent="0.15">
      <c r="A183" s="6">
        <v>181</v>
      </c>
      <c r="B183" t="s">
        <v>200</v>
      </c>
      <c r="C183" t="s">
        <v>23</v>
      </c>
      <c r="D183" s="7">
        <v>361.99</v>
      </c>
      <c r="E183" s="7">
        <v>361.99</v>
      </c>
      <c r="F183" s="7">
        <v>1.19</v>
      </c>
      <c r="G183">
        <f t="shared" si="21"/>
        <v>53.079390000000004</v>
      </c>
      <c r="H183" t="s">
        <v>694</v>
      </c>
      <c r="K183">
        <f t="shared" si="20"/>
        <v>361.99</v>
      </c>
    </row>
    <row r="184" spans="1:11" x14ac:dyDescent="0.15">
      <c r="A184" s="6">
        <v>182</v>
      </c>
      <c r="B184" t="s">
        <v>201</v>
      </c>
      <c r="C184" t="s">
        <v>23</v>
      </c>
      <c r="D184" s="7">
        <v>247.47</v>
      </c>
      <c r="E184" s="7">
        <v>247.47</v>
      </c>
      <c r="F184" s="7">
        <v>0.04</v>
      </c>
      <c r="G184">
        <f t="shared" si="21"/>
        <v>53.326860000000003</v>
      </c>
      <c r="H184" t="s">
        <v>694</v>
      </c>
      <c r="K184">
        <f t="shared" si="20"/>
        <v>247.47</v>
      </c>
    </row>
    <row r="185" spans="1:11" x14ac:dyDescent="0.15">
      <c r="A185" s="6">
        <v>183</v>
      </c>
      <c r="B185" t="s">
        <v>202</v>
      </c>
      <c r="C185" t="s">
        <v>23</v>
      </c>
      <c r="D185" s="7">
        <v>356.34</v>
      </c>
      <c r="E185" s="7">
        <v>356.34</v>
      </c>
      <c r="F185" s="7">
        <v>1.31</v>
      </c>
      <c r="G185">
        <f t="shared" si="21"/>
        <v>53.683200000000006</v>
      </c>
      <c r="H185" t="s">
        <v>694</v>
      </c>
      <c r="K185">
        <f t="shared" si="20"/>
        <v>356.34</v>
      </c>
    </row>
    <row r="186" spans="1:11" x14ac:dyDescent="0.15">
      <c r="A186" s="6">
        <v>184</v>
      </c>
      <c r="B186" t="s">
        <v>203</v>
      </c>
      <c r="C186" t="s">
        <v>23</v>
      </c>
      <c r="D186" s="7">
        <v>309.37</v>
      </c>
      <c r="E186" s="7">
        <v>309.37</v>
      </c>
      <c r="F186" s="7">
        <v>2.2000000000000002</v>
      </c>
      <c r="G186">
        <f t="shared" si="21"/>
        <v>53.992570000000008</v>
      </c>
      <c r="H186" t="s">
        <v>694</v>
      </c>
      <c r="K186">
        <f t="shared" si="20"/>
        <v>309.37</v>
      </c>
    </row>
    <row r="187" spans="1:11" x14ac:dyDescent="0.15">
      <c r="A187" s="6">
        <v>185</v>
      </c>
      <c r="B187" t="s">
        <v>204</v>
      </c>
      <c r="C187" t="s">
        <v>23</v>
      </c>
      <c r="D187" s="7">
        <v>251.57</v>
      </c>
      <c r="E187" s="7">
        <v>251.57</v>
      </c>
      <c r="F187" s="7">
        <v>0.66</v>
      </c>
      <c r="G187">
        <f t="shared" si="21"/>
        <v>54.244140000000009</v>
      </c>
      <c r="H187" t="s">
        <v>694</v>
      </c>
      <c r="K187">
        <f t="shared" si="20"/>
        <v>251.57</v>
      </c>
    </row>
    <row r="188" spans="1:11" x14ac:dyDescent="0.15">
      <c r="A188" s="6">
        <v>186</v>
      </c>
      <c r="B188" t="s">
        <v>205</v>
      </c>
      <c r="C188" t="s">
        <v>23</v>
      </c>
      <c r="D188" s="7">
        <v>324.39999999999998</v>
      </c>
      <c r="E188" s="7">
        <v>324.39999999999998</v>
      </c>
      <c r="F188" s="7">
        <v>1.0900000000000001</v>
      </c>
      <c r="G188">
        <f t="shared" si="21"/>
        <v>54.568540000000006</v>
      </c>
      <c r="H188" t="s">
        <v>694</v>
      </c>
      <c r="K188">
        <f t="shared" si="20"/>
        <v>324.39999999999998</v>
      </c>
    </row>
    <row r="189" spans="1:11" x14ac:dyDescent="0.15">
      <c r="A189" s="6">
        <v>187</v>
      </c>
      <c r="B189" t="s">
        <v>206</v>
      </c>
      <c r="C189" t="s">
        <v>23</v>
      </c>
      <c r="D189" s="7">
        <v>323.08999999999997</v>
      </c>
      <c r="E189" s="7">
        <v>323.08999999999997</v>
      </c>
      <c r="F189" s="7">
        <v>1.51</v>
      </c>
      <c r="G189">
        <f t="shared" si="21"/>
        <v>54.891630000000006</v>
      </c>
      <c r="H189" t="s">
        <v>694</v>
      </c>
      <c r="K189">
        <f t="shared" si="20"/>
        <v>323.08999999999997</v>
      </c>
    </row>
    <row r="190" spans="1:11" x14ac:dyDescent="0.15">
      <c r="A190" s="6">
        <v>188</v>
      </c>
      <c r="B190" t="s">
        <v>207</v>
      </c>
      <c r="C190" t="s">
        <v>19</v>
      </c>
      <c r="D190" s="7">
        <v>361.34</v>
      </c>
      <c r="E190" s="7">
        <v>369.84</v>
      </c>
      <c r="F190" s="7">
        <v>21.02</v>
      </c>
      <c r="G190">
        <f t="shared" si="21"/>
        <v>55.26147000000001</v>
      </c>
      <c r="H190" t="s">
        <v>694</v>
      </c>
      <c r="J190" s="7">
        <f>D190+8.5</f>
        <v>369.84</v>
      </c>
      <c r="K190">
        <f t="shared" si="20"/>
        <v>369.84</v>
      </c>
    </row>
    <row r="191" spans="1:11" x14ac:dyDescent="0.15">
      <c r="A191" s="6">
        <v>189</v>
      </c>
      <c r="B191" t="s">
        <v>208</v>
      </c>
      <c r="C191" t="s">
        <v>23</v>
      </c>
      <c r="D191" s="7">
        <v>327.63</v>
      </c>
      <c r="E191" s="7">
        <v>327.63</v>
      </c>
      <c r="F191" s="7">
        <v>0.69</v>
      </c>
      <c r="G191">
        <f t="shared" si="21"/>
        <v>55.589100000000009</v>
      </c>
      <c r="H191" t="s">
        <v>694</v>
      </c>
      <c r="K191">
        <f t="shared" si="20"/>
        <v>327.63</v>
      </c>
    </row>
    <row r="192" spans="1:11" x14ac:dyDescent="0.15">
      <c r="A192" s="6">
        <v>190</v>
      </c>
      <c r="B192" t="s">
        <v>209</v>
      </c>
      <c r="C192" t="s">
        <v>23</v>
      </c>
      <c r="D192" s="7">
        <v>272.73</v>
      </c>
      <c r="E192" s="7">
        <v>272.73</v>
      </c>
      <c r="F192" s="7">
        <v>0.47</v>
      </c>
      <c r="G192">
        <f t="shared" si="21"/>
        <v>55.861830000000012</v>
      </c>
      <c r="H192" t="s">
        <v>694</v>
      </c>
      <c r="K192">
        <f t="shared" si="20"/>
        <v>272.73</v>
      </c>
    </row>
    <row r="193" spans="1:11" x14ac:dyDescent="0.15">
      <c r="A193" s="6">
        <v>191</v>
      </c>
      <c r="B193" t="s">
        <v>210</v>
      </c>
      <c r="C193" t="s">
        <v>23</v>
      </c>
      <c r="D193" s="7">
        <v>281.62</v>
      </c>
      <c r="E193" s="7">
        <v>281.62</v>
      </c>
      <c r="F193" s="7">
        <v>0.08</v>
      </c>
      <c r="G193">
        <f t="shared" si="21"/>
        <v>56.143450000000009</v>
      </c>
      <c r="H193" t="s">
        <v>694</v>
      </c>
      <c r="K193">
        <f t="shared" si="20"/>
        <v>281.62</v>
      </c>
    </row>
    <row r="194" spans="1:11" x14ac:dyDescent="0.15">
      <c r="A194" s="6">
        <v>192</v>
      </c>
      <c r="B194" t="s">
        <v>211</v>
      </c>
      <c r="C194" t="s">
        <v>14</v>
      </c>
      <c r="D194" s="7">
        <v>354.26</v>
      </c>
      <c r="E194" s="7">
        <v>362.76</v>
      </c>
      <c r="F194" s="7">
        <v>39.01</v>
      </c>
      <c r="G194">
        <f t="shared" si="21"/>
        <v>56.50621000000001</v>
      </c>
      <c r="H194" t="s">
        <v>694</v>
      </c>
      <c r="J194" s="7">
        <f>D194+8.5</f>
        <v>362.76</v>
      </c>
      <c r="K194">
        <f t="shared" si="20"/>
        <v>362.76</v>
      </c>
    </row>
    <row r="195" spans="1:11" x14ac:dyDescent="0.15">
      <c r="A195" s="6">
        <v>193</v>
      </c>
      <c r="B195" t="s">
        <v>212</v>
      </c>
      <c r="C195" t="s">
        <v>23</v>
      </c>
      <c r="D195" s="7">
        <v>360.44</v>
      </c>
      <c r="E195" s="7">
        <v>360.44</v>
      </c>
      <c r="F195" s="7">
        <v>0.55000000000000004</v>
      </c>
      <c r="G195">
        <f t="shared" si="21"/>
        <v>56.866650000000007</v>
      </c>
      <c r="H195" t="s">
        <v>694</v>
      </c>
      <c r="K195">
        <f t="shared" ref="K195:K258" si="25">IF(J195&lt;&gt;"",J195,D195)</f>
        <v>360.44</v>
      </c>
    </row>
    <row r="196" spans="1:11" x14ac:dyDescent="0.15">
      <c r="A196" s="6">
        <v>194</v>
      </c>
      <c r="B196" t="s">
        <v>213</v>
      </c>
      <c r="C196" t="s">
        <v>19</v>
      </c>
      <c r="D196" s="7">
        <v>250.86</v>
      </c>
      <c r="E196" s="7">
        <v>259.36</v>
      </c>
      <c r="F196" s="7">
        <v>27.19</v>
      </c>
      <c r="G196">
        <f t="shared" ref="G196:G259" si="26">E196/1000+G195</f>
        <v>57.126010000000008</v>
      </c>
      <c r="H196" t="s">
        <v>694</v>
      </c>
      <c r="J196" s="7">
        <f>D196+8.5</f>
        <v>259.36</v>
      </c>
      <c r="K196">
        <f t="shared" si="25"/>
        <v>259.36</v>
      </c>
    </row>
    <row r="197" spans="1:11" x14ac:dyDescent="0.15">
      <c r="A197" s="6">
        <v>195</v>
      </c>
      <c r="B197" t="s">
        <v>214</v>
      </c>
      <c r="C197" t="s">
        <v>23</v>
      </c>
      <c r="D197" s="7">
        <v>299.70999999999998</v>
      </c>
      <c r="E197" s="7">
        <v>299.70999999999998</v>
      </c>
      <c r="F197" s="7">
        <v>1.34</v>
      </c>
      <c r="G197">
        <f t="shared" si="26"/>
        <v>57.425720000000005</v>
      </c>
      <c r="H197" t="s">
        <v>694</v>
      </c>
      <c r="K197">
        <f t="shared" si="25"/>
        <v>299.70999999999998</v>
      </c>
    </row>
    <row r="198" spans="1:11" x14ac:dyDescent="0.15">
      <c r="A198" s="6">
        <v>196</v>
      </c>
      <c r="B198" t="s">
        <v>215</v>
      </c>
      <c r="C198" t="s">
        <v>23</v>
      </c>
      <c r="D198" s="7">
        <v>323.39999999999998</v>
      </c>
      <c r="E198" s="7">
        <v>323.39999999999998</v>
      </c>
      <c r="F198" s="7">
        <v>0.83</v>
      </c>
      <c r="G198">
        <f t="shared" si="26"/>
        <v>57.749120000000005</v>
      </c>
      <c r="H198" t="s">
        <v>694</v>
      </c>
      <c r="K198">
        <f t="shared" si="25"/>
        <v>323.39999999999998</v>
      </c>
    </row>
    <row r="199" spans="1:11" x14ac:dyDescent="0.15">
      <c r="A199" s="6">
        <v>197</v>
      </c>
      <c r="B199" t="s">
        <v>216</v>
      </c>
      <c r="C199" t="s">
        <v>23</v>
      </c>
      <c r="D199" s="7">
        <v>302.14999999999998</v>
      </c>
      <c r="E199" s="7">
        <v>302.14999999999998</v>
      </c>
      <c r="F199" s="7">
        <v>0.37</v>
      </c>
      <c r="G199">
        <f t="shared" si="26"/>
        <v>58.051270000000002</v>
      </c>
      <c r="H199" t="s">
        <v>694</v>
      </c>
      <c r="K199">
        <f t="shared" si="25"/>
        <v>302.14999999999998</v>
      </c>
    </row>
    <row r="200" spans="1:11" x14ac:dyDescent="0.15">
      <c r="A200" s="6">
        <v>198</v>
      </c>
      <c r="B200" t="s">
        <v>217</v>
      </c>
      <c r="C200" t="s">
        <v>23</v>
      </c>
      <c r="D200" s="7">
        <v>309.29000000000002</v>
      </c>
      <c r="E200" s="7">
        <v>309.29000000000002</v>
      </c>
      <c r="F200" s="7">
        <v>0.14000000000000001</v>
      </c>
      <c r="G200">
        <f t="shared" si="26"/>
        <v>58.36056</v>
      </c>
      <c r="H200" t="s">
        <v>694</v>
      </c>
      <c r="K200">
        <f t="shared" si="25"/>
        <v>309.29000000000002</v>
      </c>
    </row>
    <row r="201" spans="1:11" x14ac:dyDescent="0.15">
      <c r="A201" s="6">
        <v>199</v>
      </c>
      <c r="B201" t="s">
        <v>218</v>
      </c>
      <c r="C201" t="s">
        <v>23</v>
      </c>
      <c r="D201" s="7">
        <v>281.8</v>
      </c>
      <c r="E201" s="7">
        <v>281.8</v>
      </c>
      <c r="F201" s="7">
        <v>0.21</v>
      </c>
      <c r="G201">
        <f t="shared" si="26"/>
        <v>58.642359999999996</v>
      </c>
      <c r="H201" t="s">
        <v>694</v>
      </c>
      <c r="K201">
        <f t="shared" si="25"/>
        <v>281.8</v>
      </c>
    </row>
    <row r="202" spans="1:11" x14ac:dyDescent="0.15">
      <c r="A202" s="6">
        <v>200</v>
      </c>
      <c r="B202" t="s">
        <v>219</v>
      </c>
      <c r="C202" t="s">
        <v>23</v>
      </c>
      <c r="D202" s="7">
        <v>325.39999999999998</v>
      </c>
      <c r="E202" s="7">
        <v>325.39999999999998</v>
      </c>
      <c r="F202" s="7">
        <v>0.35</v>
      </c>
      <c r="G202">
        <f t="shared" si="26"/>
        <v>58.967759999999998</v>
      </c>
      <c r="H202" t="s">
        <v>694</v>
      </c>
      <c r="K202">
        <f t="shared" si="25"/>
        <v>325.39999999999998</v>
      </c>
    </row>
    <row r="203" spans="1:11" x14ac:dyDescent="0.15">
      <c r="A203" s="6">
        <v>201</v>
      </c>
      <c r="B203" t="s">
        <v>220</v>
      </c>
      <c r="C203" t="s">
        <v>23</v>
      </c>
      <c r="D203" s="7">
        <v>299.47000000000003</v>
      </c>
      <c r="E203" s="7">
        <v>299.47000000000003</v>
      </c>
      <c r="F203" s="7">
        <v>0.12</v>
      </c>
      <c r="G203">
        <f t="shared" si="26"/>
        <v>59.267229999999998</v>
      </c>
      <c r="H203" t="s">
        <v>694</v>
      </c>
      <c r="K203">
        <f t="shared" si="25"/>
        <v>299.47000000000003</v>
      </c>
    </row>
    <row r="204" spans="1:11" x14ac:dyDescent="0.15">
      <c r="A204" s="6">
        <v>202</v>
      </c>
      <c r="B204" t="s">
        <v>221</v>
      </c>
      <c r="C204" t="s">
        <v>23</v>
      </c>
      <c r="D204" s="7">
        <v>313.27999999999997</v>
      </c>
      <c r="E204" s="7">
        <v>313.27999999999997</v>
      </c>
      <c r="F204" s="7">
        <v>0.02</v>
      </c>
      <c r="G204">
        <f t="shared" si="26"/>
        <v>59.580509999999997</v>
      </c>
      <c r="H204" t="s">
        <v>694</v>
      </c>
      <c r="K204">
        <f t="shared" si="25"/>
        <v>313.27999999999997</v>
      </c>
    </row>
    <row r="205" spans="1:11" x14ac:dyDescent="0.15">
      <c r="A205" s="6">
        <v>203</v>
      </c>
      <c r="B205" t="s">
        <v>222</v>
      </c>
      <c r="C205" t="s">
        <v>19</v>
      </c>
      <c r="D205" s="7">
        <v>345.8</v>
      </c>
      <c r="E205" s="7">
        <v>354.3</v>
      </c>
      <c r="F205" s="7">
        <v>16.38</v>
      </c>
      <c r="G205">
        <f t="shared" si="26"/>
        <v>59.934809999999999</v>
      </c>
      <c r="H205" t="s">
        <v>694</v>
      </c>
      <c r="J205" s="7">
        <f>D205+8.5</f>
        <v>354.3</v>
      </c>
      <c r="K205">
        <f t="shared" si="25"/>
        <v>354.3</v>
      </c>
    </row>
    <row r="206" spans="1:11" x14ac:dyDescent="0.15">
      <c r="A206" s="6">
        <v>204</v>
      </c>
      <c r="B206" t="s">
        <v>223</v>
      </c>
      <c r="C206" t="s">
        <v>23</v>
      </c>
      <c r="D206" s="7">
        <v>342.29</v>
      </c>
      <c r="E206" s="7">
        <v>342.29</v>
      </c>
      <c r="F206" s="7">
        <v>0.89</v>
      </c>
      <c r="G206">
        <f t="shared" si="26"/>
        <v>60.277099999999997</v>
      </c>
      <c r="H206" t="s">
        <v>694</v>
      </c>
      <c r="K206">
        <f t="shared" si="25"/>
        <v>342.29</v>
      </c>
    </row>
    <row r="207" spans="1:11" x14ac:dyDescent="0.15">
      <c r="A207" s="6">
        <v>205</v>
      </c>
      <c r="B207" t="s">
        <v>224</v>
      </c>
      <c r="C207" t="s">
        <v>23</v>
      </c>
      <c r="D207" s="7">
        <v>348.32</v>
      </c>
      <c r="E207" s="7">
        <v>348.32</v>
      </c>
      <c r="F207" s="7">
        <v>0.4</v>
      </c>
      <c r="G207">
        <f t="shared" si="26"/>
        <v>60.625419999999998</v>
      </c>
      <c r="H207" t="s">
        <v>694</v>
      </c>
      <c r="K207">
        <f t="shared" si="25"/>
        <v>348.32</v>
      </c>
    </row>
    <row r="208" spans="1:11" x14ac:dyDescent="0.15">
      <c r="A208" s="6">
        <v>206</v>
      </c>
      <c r="B208" t="s">
        <v>225</v>
      </c>
      <c r="C208" t="s">
        <v>23</v>
      </c>
      <c r="D208" s="7">
        <v>361.37</v>
      </c>
      <c r="E208" s="7">
        <v>361.37</v>
      </c>
      <c r="F208" s="7">
        <v>0.44</v>
      </c>
      <c r="G208">
        <f t="shared" si="26"/>
        <v>60.986789999999999</v>
      </c>
      <c r="H208" t="s">
        <v>694</v>
      </c>
      <c r="K208">
        <f t="shared" si="25"/>
        <v>361.37</v>
      </c>
    </row>
    <row r="209" spans="1:11" x14ac:dyDescent="0.15">
      <c r="A209" s="6">
        <v>207</v>
      </c>
      <c r="B209" t="s">
        <v>226</v>
      </c>
      <c r="C209" t="s">
        <v>28</v>
      </c>
      <c r="D209" s="7">
        <v>279.08</v>
      </c>
      <c r="E209" s="7">
        <v>287.58</v>
      </c>
      <c r="F209" s="7">
        <v>6.62</v>
      </c>
      <c r="G209">
        <f t="shared" si="26"/>
        <v>61.274369999999998</v>
      </c>
      <c r="H209" t="s">
        <v>694</v>
      </c>
      <c r="J209" s="7">
        <f>D209+8.5</f>
        <v>287.58</v>
      </c>
      <c r="K209">
        <f t="shared" si="25"/>
        <v>287.58</v>
      </c>
    </row>
    <row r="210" spans="1:11" x14ac:dyDescent="0.15">
      <c r="A210" s="6">
        <v>208</v>
      </c>
      <c r="B210" t="s">
        <v>227</v>
      </c>
      <c r="C210" t="s">
        <v>23</v>
      </c>
      <c r="D210" s="7">
        <v>292.02</v>
      </c>
      <c r="E210" s="7">
        <v>292.02</v>
      </c>
      <c r="F210" s="7">
        <v>0.28999999999999998</v>
      </c>
      <c r="G210">
        <f t="shared" si="26"/>
        <v>61.566389999999998</v>
      </c>
      <c r="H210" t="s">
        <v>694</v>
      </c>
      <c r="K210">
        <f t="shared" si="25"/>
        <v>292.02</v>
      </c>
    </row>
    <row r="211" spans="1:11" x14ac:dyDescent="0.15">
      <c r="A211" s="6">
        <v>209</v>
      </c>
      <c r="B211" t="s">
        <v>228</v>
      </c>
      <c r="C211" t="s">
        <v>23</v>
      </c>
      <c r="D211" s="7">
        <v>340.61</v>
      </c>
      <c r="E211" s="7">
        <v>340.61</v>
      </c>
      <c r="F211" s="7">
        <v>1.23</v>
      </c>
      <c r="G211">
        <f t="shared" si="26"/>
        <v>61.906999999999996</v>
      </c>
      <c r="H211" t="s">
        <v>694</v>
      </c>
      <c r="K211">
        <f t="shared" si="25"/>
        <v>340.61</v>
      </c>
    </row>
    <row r="212" spans="1:11" x14ac:dyDescent="0.15">
      <c r="A212" s="6">
        <v>210</v>
      </c>
      <c r="B212" t="s">
        <v>229</v>
      </c>
      <c r="C212" t="s">
        <v>23</v>
      </c>
      <c r="D212" s="7">
        <v>296.33</v>
      </c>
      <c r="E212" s="7">
        <v>296.33</v>
      </c>
      <c r="F212" s="7">
        <v>0.18</v>
      </c>
      <c r="G212">
        <f t="shared" si="26"/>
        <v>62.203329999999994</v>
      </c>
      <c r="H212" t="s">
        <v>694</v>
      </c>
      <c r="K212">
        <f t="shared" si="25"/>
        <v>296.33</v>
      </c>
    </row>
    <row r="213" spans="1:11" x14ac:dyDescent="0.15">
      <c r="A213" s="6">
        <v>211</v>
      </c>
      <c r="B213" t="s">
        <v>230</v>
      </c>
      <c r="C213" t="s">
        <v>23</v>
      </c>
      <c r="D213" s="7">
        <v>383.61</v>
      </c>
      <c r="E213" s="7">
        <v>383.61</v>
      </c>
      <c r="F213" s="7">
        <v>1.43</v>
      </c>
      <c r="G213">
        <f t="shared" si="26"/>
        <v>62.586939999999991</v>
      </c>
      <c r="H213" t="s">
        <v>694</v>
      </c>
      <c r="K213">
        <f t="shared" si="25"/>
        <v>383.61</v>
      </c>
    </row>
    <row r="214" spans="1:11" x14ac:dyDescent="0.15">
      <c r="A214" s="6">
        <v>212</v>
      </c>
      <c r="B214" t="s">
        <v>231</v>
      </c>
      <c r="C214" t="s">
        <v>19</v>
      </c>
      <c r="D214" s="7">
        <v>344.31</v>
      </c>
      <c r="E214" s="7">
        <v>352.81</v>
      </c>
      <c r="F214" s="7">
        <v>21.81</v>
      </c>
      <c r="G214">
        <f t="shared" si="26"/>
        <v>62.939749999999989</v>
      </c>
      <c r="H214" t="s">
        <v>694</v>
      </c>
      <c r="J214" s="7">
        <f>D214+8.5</f>
        <v>352.81</v>
      </c>
      <c r="K214">
        <f t="shared" si="25"/>
        <v>352.81</v>
      </c>
    </row>
    <row r="215" spans="1:11" x14ac:dyDescent="0.15">
      <c r="A215" s="6">
        <v>213</v>
      </c>
      <c r="B215" t="s">
        <v>232</v>
      </c>
      <c r="C215" t="s">
        <v>23</v>
      </c>
      <c r="D215" s="7">
        <v>358.44</v>
      </c>
      <c r="E215" s="7">
        <v>358.44</v>
      </c>
      <c r="F215" s="7">
        <v>0.45</v>
      </c>
      <c r="G215">
        <f t="shared" si="26"/>
        <v>63.298189999999991</v>
      </c>
      <c r="H215" t="s">
        <v>694</v>
      </c>
      <c r="K215">
        <f t="shared" si="25"/>
        <v>358.44</v>
      </c>
    </row>
    <row r="216" spans="1:11" x14ac:dyDescent="0.15">
      <c r="A216" s="6">
        <v>214</v>
      </c>
      <c r="B216" t="s">
        <v>233</v>
      </c>
      <c r="C216" t="s">
        <v>23</v>
      </c>
      <c r="D216" s="7">
        <v>310.75</v>
      </c>
      <c r="E216" s="7">
        <v>310.75</v>
      </c>
      <c r="F216" s="7">
        <v>0.02</v>
      </c>
      <c r="G216">
        <f t="shared" si="26"/>
        <v>63.60893999999999</v>
      </c>
      <c r="H216" t="s">
        <v>694</v>
      </c>
      <c r="K216">
        <f t="shared" si="25"/>
        <v>310.75</v>
      </c>
    </row>
    <row r="217" spans="1:11" x14ac:dyDescent="0.15">
      <c r="A217" s="6">
        <v>215</v>
      </c>
      <c r="B217" t="s">
        <v>234</v>
      </c>
      <c r="C217" t="s">
        <v>23</v>
      </c>
      <c r="D217" s="7">
        <v>275.14999999999998</v>
      </c>
      <c r="E217" s="7">
        <v>275.14999999999998</v>
      </c>
      <c r="F217" s="7">
        <v>0.28999999999999998</v>
      </c>
      <c r="G217">
        <f t="shared" si="26"/>
        <v>63.884089999999986</v>
      </c>
      <c r="H217" t="s">
        <v>694</v>
      </c>
      <c r="K217">
        <f t="shared" si="25"/>
        <v>275.14999999999998</v>
      </c>
    </row>
    <row r="218" spans="1:11" x14ac:dyDescent="0.15">
      <c r="A218" s="6">
        <v>216</v>
      </c>
      <c r="B218" t="s">
        <v>235</v>
      </c>
      <c r="C218" t="s">
        <v>23</v>
      </c>
      <c r="D218" s="7">
        <v>283.86</v>
      </c>
      <c r="E218" s="7">
        <v>283.86</v>
      </c>
      <c r="F218" s="7">
        <v>1.04</v>
      </c>
      <c r="G218">
        <f t="shared" si="26"/>
        <v>64.16794999999999</v>
      </c>
      <c r="H218" t="s">
        <v>694</v>
      </c>
      <c r="K218">
        <f t="shared" si="25"/>
        <v>283.86</v>
      </c>
    </row>
    <row r="219" spans="1:11" x14ac:dyDescent="0.15">
      <c r="A219" s="6">
        <v>217</v>
      </c>
      <c r="B219" t="s">
        <v>236</v>
      </c>
      <c r="C219" t="s">
        <v>23</v>
      </c>
      <c r="D219" s="7">
        <v>376.65</v>
      </c>
      <c r="E219" s="7">
        <v>376.65</v>
      </c>
      <c r="F219" s="7">
        <v>1.34</v>
      </c>
      <c r="G219">
        <f t="shared" si="26"/>
        <v>64.544599999999988</v>
      </c>
      <c r="H219" t="s">
        <v>694</v>
      </c>
      <c r="K219">
        <f t="shared" si="25"/>
        <v>376.65</v>
      </c>
    </row>
    <row r="220" spans="1:11" x14ac:dyDescent="0.15">
      <c r="A220" s="6">
        <v>218</v>
      </c>
      <c r="B220" t="s">
        <v>237</v>
      </c>
      <c r="C220" t="s">
        <v>23</v>
      </c>
      <c r="D220" s="7">
        <v>349.1</v>
      </c>
      <c r="E220" s="7">
        <v>349.1</v>
      </c>
      <c r="F220" s="7">
        <v>0.37</v>
      </c>
      <c r="G220">
        <f t="shared" si="26"/>
        <v>64.893699999999995</v>
      </c>
      <c r="H220" t="s">
        <v>694</v>
      </c>
      <c r="K220">
        <f t="shared" si="25"/>
        <v>349.1</v>
      </c>
    </row>
    <row r="221" spans="1:11" x14ac:dyDescent="0.15">
      <c r="A221" s="6">
        <v>219</v>
      </c>
      <c r="B221" t="s">
        <v>238</v>
      </c>
      <c r="C221" t="s">
        <v>23</v>
      </c>
      <c r="D221" s="7">
        <v>266.19</v>
      </c>
      <c r="E221" s="7">
        <v>266.19</v>
      </c>
      <c r="F221" s="7">
        <v>1.1499999999999999</v>
      </c>
      <c r="G221">
        <f t="shared" si="26"/>
        <v>65.15988999999999</v>
      </c>
      <c r="H221" t="s">
        <v>694</v>
      </c>
      <c r="K221">
        <f t="shared" si="25"/>
        <v>266.19</v>
      </c>
    </row>
    <row r="222" spans="1:11" x14ac:dyDescent="0.15">
      <c r="A222" s="6">
        <v>220</v>
      </c>
      <c r="B222" t="s">
        <v>239</v>
      </c>
      <c r="C222" t="s">
        <v>23</v>
      </c>
      <c r="D222" s="7">
        <v>283.88</v>
      </c>
      <c r="E222" s="7">
        <v>283.88</v>
      </c>
      <c r="F222" s="7">
        <v>0.14000000000000001</v>
      </c>
      <c r="G222">
        <f t="shared" si="26"/>
        <v>65.443769999999986</v>
      </c>
      <c r="H222" t="s">
        <v>694</v>
      </c>
      <c r="K222">
        <f t="shared" si="25"/>
        <v>283.88</v>
      </c>
    </row>
    <row r="223" spans="1:11" x14ac:dyDescent="0.15">
      <c r="A223" s="6">
        <v>221</v>
      </c>
      <c r="B223" t="s">
        <v>240</v>
      </c>
      <c r="C223" t="s">
        <v>23</v>
      </c>
      <c r="D223" s="7">
        <v>365.12</v>
      </c>
      <c r="E223" s="7">
        <v>365.12</v>
      </c>
      <c r="F223" s="7">
        <v>0.15</v>
      </c>
      <c r="G223">
        <f t="shared" si="26"/>
        <v>65.808889999999991</v>
      </c>
      <c r="H223" t="s">
        <v>694</v>
      </c>
      <c r="K223">
        <f t="shared" si="25"/>
        <v>365.12</v>
      </c>
    </row>
    <row r="224" spans="1:11" x14ac:dyDescent="0.15">
      <c r="A224" s="6">
        <v>222</v>
      </c>
      <c r="B224" t="s">
        <v>241</v>
      </c>
      <c r="C224" t="s">
        <v>19</v>
      </c>
      <c r="D224" s="7">
        <v>288.52</v>
      </c>
      <c r="E224" s="7">
        <v>297.02</v>
      </c>
      <c r="F224" s="7">
        <v>40.19</v>
      </c>
      <c r="G224">
        <f t="shared" si="26"/>
        <v>66.105909999999994</v>
      </c>
      <c r="H224" t="s">
        <v>694</v>
      </c>
      <c r="J224" s="7">
        <f>D224+8.5</f>
        <v>297.02</v>
      </c>
      <c r="K224">
        <f t="shared" si="25"/>
        <v>297.02</v>
      </c>
    </row>
    <row r="225" spans="1:11" x14ac:dyDescent="0.15">
      <c r="A225" s="6">
        <v>223</v>
      </c>
      <c r="B225" t="s">
        <v>242</v>
      </c>
      <c r="C225" t="s">
        <v>23</v>
      </c>
      <c r="D225" s="7">
        <v>319.54000000000002</v>
      </c>
      <c r="E225" s="7">
        <v>319.54000000000002</v>
      </c>
      <c r="F225" s="7">
        <v>1.86</v>
      </c>
      <c r="G225">
        <f t="shared" si="26"/>
        <v>66.425449999999998</v>
      </c>
      <c r="H225" t="s">
        <v>694</v>
      </c>
      <c r="K225">
        <f t="shared" si="25"/>
        <v>319.54000000000002</v>
      </c>
    </row>
    <row r="226" spans="1:11" x14ac:dyDescent="0.15">
      <c r="A226" s="6">
        <v>224</v>
      </c>
      <c r="B226" t="s">
        <v>243</v>
      </c>
      <c r="C226" t="s">
        <v>23</v>
      </c>
      <c r="D226" s="7">
        <v>328.8</v>
      </c>
      <c r="E226" s="7">
        <v>328.8</v>
      </c>
      <c r="F226" s="7">
        <v>1.83</v>
      </c>
      <c r="G226">
        <f t="shared" si="26"/>
        <v>66.754249999999999</v>
      </c>
      <c r="H226" t="s">
        <v>694</v>
      </c>
      <c r="K226">
        <f t="shared" si="25"/>
        <v>328.8</v>
      </c>
    </row>
    <row r="227" spans="1:11" x14ac:dyDescent="0.15">
      <c r="A227" s="6">
        <v>225</v>
      </c>
      <c r="B227" t="s">
        <v>244</v>
      </c>
      <c r="C227" t="s">
        <v>23</v>
      </c>
      <c r="D227" s="7">
        <v>317.55</v>
      </c>
      <c r="E227" s="7">
        <v>317.55</v>
      </c>
      <c r="F227" s="7">
        <v>0.36</v>
      </c>
      <c r="G227">
        <f t="shared" si="26"/>
        <v>67.071799999999996</v>
      </c>
      <c r="H227" t="s">
        <v>694</v>
      </c>
      <c r="K227">
        <f t="shared" si="25"/>
        <v>317.55</v>
      </c>
    </row>
    <row r="228" spans="1:11" x14ac:dyDescent="0.15">
      <c r="A228" s="6">
        <v>226</v>
      </c>
      <c r="B228" t="s">
        <v>245</v>
      </c>
      <c r="C228" t="s">
        <v>23</v>
      </c>
      <c r="D228" s="7">
        <v>334.67</v>
      </c>
      <c r="E228" s="7">
        <v>334.67</v>
      </c>
      <c r="F228" s="7">
        <v>0.65</v>
      </c>
      <c r="G228">
        <f t="shared" si="26"/>
        <v>67.406469999999999</v>
      </c>
      <c r="H228" t="s">
        <v>694</v>
      </c>
      <c r="K228">
        <f t="shared" si="25"/>
        <v>334.67</v>
      </c>
    </row>
    <row r="229" spans="1:11" x14ac:dyDescent="0.15">
      <c r="A229" s="6">
        <v>227</v>
      </c>
      <c r="B229" t="s">
        <v>248</v>
      </c>
      <c r="C229" t="s">
        <v>23</v>
      </c>
      <c r="D229" s="7">
        <v>316.74</v>
      </c>
      <c r="E229" s="7">
        <v>316.74</v>
      </c>
      <c r="F229" s="7">
        <v>0.2</v>
      </c>
      <c r="G229">
        <f t="shared" si="26"/>
        <v>67.723209999999995</v>
      </c>
      <c r="H229" t="s">
        <v>694</v>
      </c>
      <c r="K229">
        <f t="shared" si="25"/>
        <v>316.74</v>
      </c>
    </row>
    <row r="230" spans="1:11" x14ac:dyDescent="0.15">
      <c r="A230" s="6">
        <v>228</v>
      </c>
      <c r="B230" t="s">
        <v>249</v>
      </c>
      <c r="C230" t="s">
        <v>23</v>
      </c>
      <c r="D230" s="7">
        <v>271.95</v>
      </c>
      <c r="E230" s="7">
        <v>271.95</v>
      </c>
      <c r="F230" s="7">
        <v>1.75</v>
      </c>
      <c r="G230">
        <f t="shared" si="26"/>
        <v>67.995159999999998</v>
      </c>
      <c r="H230" t="s">
        <v>694</v>
      </c>
      <c r="K230">
        <f t="shared" si="25"/>
        <v>271.95</v>
      </c>
    </row>
    <row r="231" spans="1:11" x14ac:dyDescent="0.15">
      <c r="A231" s="6">
        <v>229</v>
      </c>
      <c r="B231" t="s">
        <v>250</v>
      </c>
      <c r="C231" t="s">
        <v>23</v>
      </c>
      <c r="D231" s="7">
        <v>298.82</v>
      </c>
      <c r="E231" s="7">
        <v>298.82</v>
      </c>
      <c r="F231" s="7">
        <v>1.67</v>
      </c>
      <c r="G231">
        <f t="shared" si="26"/>
        <v>68.293980000000005</v>
      </c>
      <c r="H231" t="s">
        <v>694</v>
      </c>
      <c r="K231">
        <f t="shared" si="25"/>
        <v>298.82</v>
      </c>
    </row>
    <row r="232" spans="1:11" x14ac:dyDescent="0.15">
      <c r="A232" s="6">
        <v>230</v>
      </c>
      <c r="B232" t="s">
        <v>251</v>
      </c>
      <c r="C232" t="s">
        <v>19</v>
      </c>
      <c r="D232" s="7">
        <v>178.34</v>
      </c>
      <c r="E232" s="7">
        <v>186.84</v>
      </c>
      <c r="F232" s="7">
        <v>28.22</v>
      </c>
      <c r="G232">
        <f t="shared" si="26"/>
        <v>68.480820000000008</v>
      </c>
      <c r="H232" t="s">
        <v>694</v>
      </c>
      <c r="J232" s="7">
        <f>D232+8.5</f>
        <v>186.84</v>
      </c>
      <c r="K232">
        <f t="shared" si="25"/>
        <v>186.84</v>
      </c>
    </row>
    <row r="233" spans="1:11" x14ac:dyDescent="0.15">
      <c r="A233" s="6">
        <v>231</v>
      </c>
      <c r="B233" t="s">
        <v>252</v>
      </c>
      <c r="C233" t="s">
        <v>23</v>
      </c>
      <c r="D233" s="7">
        <v>350.58</v>
      </c>
      <c r="E233" s="7">
        <v>350.58</v>
      </c>
      <c r="F233" s="7">
        <v>0.9</v>
      </c>
      <c r="G233">
        <f t="shared" si="26"/>
        <v>68.831400000000002</v>
      </c>
      <c r="H233" t="s">
        <v>694</v>
      </c>
      <c r="K233">
        <f t="shared" si="25"/>
        <v>350.58</v>
      </c>
    </row>
    <row r="234" spans="1:11" x14ac:dyDescent="0.15">
      <c r="A234" s="6">
        <v>232</v>
      </c>
      <c r="B234" t="s">
        <v>253</v>
      </c>
      <c r="C234" t="s">
        <v>23</v>
      </c>
      <c r="D234" s="7">
        <v>243.74</v>
      </c>
      <c r="E234" s="7">
        <v>243.74</v>
      </c>
      <c r="F234" s="7">
        <v>0.44</v>
      </c>
      <c r="G234">
        <f t="shared" si="26"/>
        <v>69.075140000000005</v>
      </c>
      <c r="H234" t="s">
        <v>694</v>
      </c>
      <c r="K234">
        <f t="shared" si="25"/>
        <v>243.74</v>
      </c>
    </row>
    <row r="235" spans="1:11" x14ac:dyDescent="0.15">
      <c r="A235" s="6">
        <v>233</v>
      </c>
      <c r="B235" t="s">
        <v>254</v>
      </c>
      <c r="C235" t="s">
        <v>23</v>
      </c>
      <c r="D235" s="7">
        <v>435.43</v>
      </c>
      <c r="E235" s="7">
        <v>435.43</v>
      </c>
      <c r="F235" s="7">
        <v>1.61</v>
      </c>
      <c r="G235">
        <f t="shared" si="26"/>
        <v>69.510570000000001</v>
      </c>
      <c r="H235" t="s">
        <v>694</v>
      </c>
      <c r="K235">
        <f t="shared" si="25"/>
        <v>435.43</v>
      </c>
    </row>
    <row r="236" spans="1:11" x14ac:dyDescent="0.15">
      <c r="A236" s="6">
        <v>234</v>
      </c>
      <c r="B236" t="s">
        <v>255</v>
      </c>
      <c r="C236" t="s">
        <v>23</v>
      </c>
      <c r="D236" s="7">
        <v>409.7</v>
      </c>
      <c r="E236" s="7">
        <v>409.7</v>
      </c>
      <c r="F236" s="7">
        <v>1.49</v>
      </c>
      <c r="G236">
        <f t="shared" si="26"/>
        <v>69.920270000000002</v>
      </c>
      <c r="H236" t="s">
        <v>694</v>
      </c>
      <c r="K236">
        <f t="shared" si="25"/>
        <v>409.7</v>
      </c>
    </row>
    <row r="237" spans="1:11" x14ac:dyDescent="0.15">
      <c r="A237" s="6">
        <v>235</v>
      </c>
      <c r="B237" t="s">
        <v>256</v>
      </c>
      <c r="C237" t="s">
        <v>23</v>
      </c>
      <c r="D237" s="7">
        <v>287.26</v>
      </c>
      <c r="E237" s="7">
        <v>287.26</v>
      </c>
      <c r="F237" s="7">
        <v>1.02</v>
      </c>
      <c r="G237">
        <f t="shared" si="26"/>
        <v>70.207530000000006</v>
      </c>
      <c r="H237" t="s">
        <v>694</v>
      </c>
      <c r="K237">
        <f t="shared" si="25"/>
        <v>287.26</v>
      </c>
    </row>
    <row r="238" spans="1:11" x14ac:dyDescent="0.15">
      <c r="A238" s="6">
        <v>236</v>
      </c>
      <c r="B238" t="s">
        <v>257</v>
      </c>
      <c r="C238" t="s">
        <v>23</v>
      </c>
      <c r="D238" s="7">
        <v>301.14</v>
      </c>
      <c r="E238" s="7">
        <v>301.14</v>
      </c>
      <c r="F238" s="7">
        <v>2.2400000000000002</v>
      </c>
      <c r="G238">
        <f t="shared" si="26"/>
        <v>70.508670000000009</v>
      </c>
      <c r="H238" t="s">
        <v>694</v>
      </c>
      <c r="K238">
        <f t="shared" si="25"/>
        <v>301.14</v>
      </c>
    </row>
    <row r="239" spans="1:11" x14ac:dyDescent="0.15">
      <c r="A239" s="6">
        <v>237</v>
      </c>
      <c r="B239" t="s">
        <v>260</v>
      </c>
      <c r="C239" t="s">
        <v>23</v>
      </c>
      <c r="D239" s="7">
        <v>300.43</v>
      </c>
      <c r="E239" s="7">
        <v>300.43</v>
      </c>
      <c r="F239" s="7">
        <v>4.7300000000000004</v>
      </c>
      <c r="G239">
        <f t="shared" si="26"/>
        <v>70.809100000000015</v>
      </c>
      <c r="H239" t="s">
        <v>694</v>
      </c>
      <c r="K239">
        <f t="shared" si="25"/>
        <v>300.43</v>
      </c>
    </row>
    <row r="240" spans="1:11" x14ac:dyDescent="0.15">
      <c r="A240" s="6">
        <v>238</v>
      </c>
      <c r="B240" t="s">
        <v>261</v>
      </c>
      <c r="C240" t="s">
        <v>28</v>
      </c>
      <c r="D240" s="7">
        <v>396.14</v>
      </c>
      <c r="E240" s="7">
        <v>404.64</v>
      </c>
      <c r="F240" s="7">
        <v>9.15</v>
      </c>
      <c r="G240">
        <f t="shared" si="26"/>
        <v>71.213740000000016</v>
      </c>
      <c r="H240" t="s">
        <v>694</v>
      </c>
      <c r="J240" s="7">
        <f>D240+8.5</f>
        <v>404.64</v>
      </c>
      <c r="K240">
        <f t="shared" si="25"/>
        <v>404.64</v>
      </c>
    </row>
    <row r="241" spans="1:11" x14ac:dyDescent="0.15">
      <c r="A241" s="6">
        <v>239</v>
      </c>
      <c r="B241" t="s">
        <v>262</v>
      </c>
      <c r="C241" t="s">
        <v>23</v>
      </c>
      <c r="D241" s="7">
        <v>402.8</v>
      </c>
      <c r="E241" s="7">
        <v>402.8</v>
      </c>
      <c r="F241" s="7">
        <v>1.54</v>
      </c>
      <c r="G241">
        <f t="shared" si="26"/>
        <v>71.616540000000015</v>
      </c>
      <c r="H241" t="s">
        <v>694</v>
      </c>
      <c r="K241">
        <f t="shared" si="25"/>
        <v>402.8</v>
      </c>
    </row>
    <row r="242" spans="1:11" x14ac:dyDescent="0.15">
      <c r="A242" s="6">
        <v>240</v>
      </c>
      <c r="B242" t="s">
        <v>263</v>
      </c>
      <c r="C242" t="s">
        <v>23</v>
      </c>
      <c r="D242" s="7">
        <v>419.05</v>
      </c>
      <c r="E242" s="7">
        <v>419.05</v>
      </c>
      <c r="F242" s="7">
        <v>5.04</v>
      </c>
      <c r="G242">
        <f t="shared" si="26"/>
        <v>72.035590000000013</v>
      </c>
      <c r="H242" t="s">
        <v>694</v>
      </c>
      <c r="K242">
        <f t="shared" si="25"/>
        <v>419.05</v>
      </c>
    </row>
    <row r="243" spans="1:11" x14ac:dyDescent="0.15">
      <c r="A243" s="6">
        <v>241</v>
      </c>
      <c r="B243" t="s">
        <v>264</v>
      </c>
      <c r="C243" t="s">
        <v>23</v>
      </c>
      <c r="D243" s="7">
        <v>228.58</v>
      </c>
      <c r="E243" s="7">
        <v>228.58</v>
      </c>
      <c r="F243" s="7">
        <v>2.17</v>
      </c>
      <c r="G243">
        <f t="shared" si="26"/>
        <v>72.264170000000007</v>
      </c>
      <c r="H243" t="s">
        <v>694</v>
      </c>
      <c r="K243">
        <f t="shared" si="25"/>
        <v>228.58</v>
      </c>
    </row>
    <row r="244" spans="1:11" x14ac:dyDescent="0.15">
      <c r="A244" s="6">
        <v>242</v>
      </c>
      <c r="B244" t="s">
        <v>265</v>
      </c>
      <c r="C244" t="s">
        <v>23</v>
      </c>
      <c r="D244" s="7">
        <v>322.7</v>
      </c>
      <c r="E244" s="7">
        <v>322.7</v>
      </c>
      <c r="F244" s="7">
        <v>0.88</v>
      </c>
      <c r="G244">
        <f t="shared" si="26"/>
        <v>72.586870000000005</v>
      </c>
      <c r="H244" t="s">
        <v>694</v>
      </c>
      <c r="K244">
        <f t="shared" si="25"/>
        <v>322.7</v>
      </c>
    </row>
    <row r="245" spans="1:11" x14ac:dyDescent="0.15">
      <c r="A245" s="6">
        <v>243</v>
      </c>
      <c r="B245" t="s">
        <v>266</v>
      </c>
      <c r="C245" t="s">
        <v>23</v>
      </c>
      <c r="D245" s="7">
        <v>349.99</v>
      </c>
      <c r="E245" s="7">
        <v>349.99</v>
      </c>
      <c r="F245" s="7">
        <v>1.85</v>
      </c>
      <c r="G245">
        <f t="shared" si="26"/>
        <v>72.93686000000001</v>
      </c>
      <c r="H245" t="s">
        <v>694</v>
      </c>
      <c r="K245">
        <f t="shared" si="25"/>
        <v>349.99</v>
      </c>
    </row>
    <row r="246" spans="1:11" x14ac:dyDescent="0.15">
      <c r="A246" s="6">
        <v>244</v>
      </c>
      <c r="B246" t="s">
        <v>267</v>
      </c>
      <c r="C246" t="s">
        <v>23</v>
      </c>
      <c r="D246" s="7">
        <v>304.76</v>
      </c>
      <c r="E246" s="7">
        <v>304.76</v>
      </c>
      <c r="F246" s="7">
        <v>4.41</v>
      </c>
      <c r="G246">
        <f t="shared" si="26"/>
        <v>73.241620000000012</v>
      </c>
      <c r="H246" t="s">
        <v>694</v>
      </c>
      <c r="K246">
        <f t="shared" si="25"/>
        <v>304.76</v>
      </c>
    </row>
    <row r="247" spans="1:11" x14ac:dyDescent="0.15">
      <c r="A247" s="6">
        <v>245</v>
      </c>
      <c r="B247" t="s">
        <v>268</v>
      </c>
      <c r="C247" t="s">
        <v>23</v>
      </c>
      <c r="D247" s="7">
        <v>406.73</v>
      </c>
      <c r="E247" s="7">
        <v>406.73</v>
      </c>
      <c r="F247" s="7">
        <v>1.99</v>
      </c>
      <c r="G247">
        <f t="shared" si="26"/>
        <v>73.648350000000008</v>
      </c>
      <c r="H247" t="s">
        <v>694</v>
      </c>
      <c r="K247">
        <f t="shared" si="25"/>
        <v>406.73</v>
      </c>
    </row>
    <row r="248" spans="1:11" x14ac:dyDescent="0.15">
      <c r="A248" s="6">
        <v>246</v>
      </c>
      <c r="B248" t="s">
        <v>269</v>
      </c>
      <c r="C248" t="s">
        <v>23</v>
      </c>
      <c r="D248" s="7">
        <v>319.2</v>
      </c>
      <c r="E248" s="7">
        <v>319.2</v>
      </c>
      <c r="F248" s="7">
        <v>0.68</v>
      </c>
      <c r="G248">
        <f t="shared" si="26"/>
        <v>73.967550000000003</v>
      </c>
      <c r="H248" t="s">
        <v>694</v>
      </c>
      <c r="K248">
        <f t="shared" si="25"/>
        <v>319.2</v>
      </c>
    </row>
    <row r="249" spans="1:11" x14ac:dyDescent="0.15">
      <c r="A249" s="6">
        <v>247</v>
      </c>
      <c r="B249" t="s">
        <v>270</v>
      </c>
      <c r="C249" t="s">
        <v>23</v>
      </c>
      <c r="D249" s="7">
        <v>366.87</v>
      </c>
      <c r="E249" s="7">
        <v>366.87</v>
      </c>
      <c r="F249" s="7">
        <v>1.32</v>
      </c>
      <c r="G249">
        <f t="shared" si="26"/>
        <v>74.334420000000009</v>
      </c>
      <c r="H249" t="s">
        <v>694</v>
      </c>
      <c r="K249">
        <f t="shared" si="25"/>
        <v>366.87</v>
      </c>
    </row>
    <row r="250" spans="1:11" x14ac:dyDescent="0.15">
      <c r="A250" s="6">
        <v>248</v>
      </c>
      <c r="B250" t="s">
        <v>271</v>
      </c>
      <c r="C250" t="s">
        <v>23</v>
      </c>
      <c r="D250" s="7">
        <v>341.96</v>
      </c>
      <c r="E250" s="7">
        <v>341.96</v>
      </c>
      <c r="F250" s="7">
        <v>4.21</v>
      </c>
      <c r="G250">
        <f t="shared" si="26"/>
        <v>74.676380000000009</v>
      </c>
      <c r="H250" t="s">
        <v>694</v>
      </c>
      <c r="K250">
        <f t="shared" si="25"/>
        <v>341.96</v>
      </c>
    </row>
    <row r="251" spans="1:11" x14ac:dyDescent="0.15">
      <c r="A251" s="6">
        <v>249</v>
      </c>
      <c r="B251" t="s">
        <v>272</v>
      </c>
      <c r="C251" t="s">
        <v>28</v>
      </c>
      <c r="D251" s="7">
        <v>309.45</v>
      </c>
      <c r="E251" s="7">
        <v>317.95</v>
      </c>
      <c r="F251" s="7">
        <v>5.83</v>
      </c>
      <c r="G251">
        <f t="shared" si="26"/>
        <v>74.994330000000005</v>
      </c>
      <c r="H251" t="s">
        <v>694</v>
      </c>
      <c r="J251" s="7">
        <f>D251+8.5</f>
        <v>317.95</v>
      </c>
      <c r="K251">
        <f t="shared" si="25"/>
        <v>317.95</v>
      </c>
    </row>
    <row r="252" spans="1:11" x14ac:dyDescent="0.15">
      <c r="A252" s="6">
        <v>250</v>
      </c>
      <c r="B252" t="s">
        <v>273</v>
      </c>
      <c r="C252" t="s">
        <v>23</v>
      </c>
      <c r="D252" s="7">
        <v>413.75</v>
      </c>
      <c r="E252" s="7">
        <v>413.75</v>
      </c>
      <c r="F252" s="7">
        <v>5.34</v>
      </c>
      <c r="G252">
        <f t="shared" si="26"/>
        <v>75.408079999999998</v>
      </c>
      <c r="H252" t="s">
        <v>694</v>
      </c>
      <c r="K252">
        <f t="shared" si="25"/>
        <v>413.75</v>
      </c>
    </row>
    <row r="253" spans="1:11" x14ac:dyDescent="0.15">
      <c r="A253" s="6">
        <v>251</v>
      </c>
      <c r="B253" t="s">
        <v>274</v>
      </c>
      <c r="C253" t="s">
        <v>23</v>
      </c>
      <c r="D253" s="7">
        <v>315.02999999999997</v>
      </c>
      <c r="E253" s="7">
        <v>315.02999999999997</v>
      </c>
      <c r="F253" s="7">
        <v>0.31</v>
      </c>
      <c r="G253">
        <f t="shared" si="26"/>
        <v>75.723109999999991</v>
      </c>
      <c r="H253" t="s">
        <v>697</v>
      </c>
      <c r="K253">
        <f t="shared" si="25"/>
        <v>315.02999999999997</v>
      </c>
    </row>
    <row r="254" spans="1:11" x14ac:dyDescent="0.15">
      <c r="A254" s="6">
        <v>252</v>
      </c>
      <c r="B254" t="s">
        <v>275</v>
      </c>
      <c r="C254" t="s">
        <v>23</v>
      </c>
      <c r="D254" s="7">
        <v>331.29</v>
      </c>
      <c r="E254" s="7">
        <v>331.29</v>
      </c>
      <c r="F254" s="7">
        <v>4.1100000000000003</v>
      </c>
      <c r="G254">
        <f t="shared" si="26"/>
        <v>76.054399999999987</v>
      </c>
      <c r="H254" t="s">
        <v>697</v>
      </c>
      <c r="K254">
        <f t="shared" si="25"/>
        <v>331.29</v>
      </c>
    </row>
    <row r="255" spans="1:11" x14ac:dyDescent="0.15">
      <c r="A255" s="6">
        <v>253</v>
      </c>
      <c r="B255" t="s">
        <v>276</v>
      </c>
      <c r="C255" t="s">
        <v>28</v>
      </c>
      <c r="D255" s="7">
        <v>405.13</v>
      </c>
      <c r="E255" s="7">
        <v>413.63</v>
      </c>
      <c r="F255" s="7">
        <v>26.09</v>
      </c>
      <c r="G255">
        <f t="shared" si="26"/>
        <v>76.468029999999985</v>
      </c>
      <c r="H255" t="s">
        <v>697</v>
      </c>
      <c r="J255" s="7">
        <f>D255+8.5</f>
        <v>413.63</v>
      </c>
      <c r="K255">
        <f t="shared" si="25"/>
        <v>413.63</v>
      </c>
    </row>
    <row r="256" spans="1:11" x14ac:dyDescent="0.15">
      <c r="A256" s="6">
        <v>254</v>
      </c>
      <c r="B256" t="s">
        <v>277</v>
      </c>
      <c r="C256" t="s">
        <v>23</v>
      </c>
      <c r="D256" s="7">
        <v>374.88</v>
      </c>
      <c r="E256" s="7">
        <v>374.88</v>
      </c>
      <c r="F256" s="7">
        <v>0.19</v>
      </c>
      <c r="G256">
        <f t="shared" si="26"/>
        <v>76.842909999999989</v>
      </c>
      <c r="H256" t="s">
        <v>697</v>
      </c>
      <c r="K256">
        <f t="shared" si="25"/>
        <v>374.88</v>
      </c>
    </row>
    <row r="257" spans="1:11" x14ac:dyDescent="0.15">
      <c r="A257" s="6">
        <v>255</v>
      </c>
      <c r="B257" t="s">
        <v>278</v>
      </c>
      <c r="C257" t="s">
        <v>16</v>
      </c>
      <c r="D257" s="7">
        <v>270.77</v>
      </c>
      <c r="E257" s="7">
        <v>270.77</v>
      </c>
      <c r="F257" s="7">
        <v>3.77</v>
      </c>
      <c r="G257">
        <f t="shared" si="26"/>
        <v>77.113679999999988</v>
      </c>
      <c r="H257" t="s">
        <v>697</v>
      </c>
      <c r="K257">
        <f t="shared" si="25"/>
        <v>270.77</v>
      </c>
    </row>
    <row r="258" spans="1:11" x14ac:dyDescent="0.15">
      <c r="A258" s="6">
        <v>256</v>
      </c>
      <c r="B258" t="s">
        <v>279</v>
      </c>
      <c r="C258" t="s">
        <v>23</v>
      </c>
      <c r="D258" s="7">
        <v>327.58999999999997</v>
      </c>
      <c r="E258" s="7">
        <v>327.58999999999997</v>
      </c>
      <c r="F258" s="7">
        <v>1.8</v>
      </c>
      <c r="G258">
        <f t="shared" si="26"/>
        <v>77.441269999999989</v>
      </c>
      <c r="H258" t="s">
        <v>697</v>
      </c>
      <c r="K258">
        <f t="shared" si="25"/>
        <v>327.58999999999997</v>
      </c>
    </row>
    <row r="259" spans="1:11" x14ac:dyDescent="0.15">
      <c r="A259" s="6">
        <v>257</v>
      </c>
      <c r="B259" t="s">
        <v>280</v>
      </c>
      <c r="C259" t="s">
        <v>16</v>
      </c>
      <c r="D259" s="7">
        <v>390.96</v>
      </c>
      <c r="E259" s="7">
        <v>390.96</v>
      </c>
      <c r="F259" s="7">
        <v>2.48</v>
      </c>
      <c r="G259">
        <f t="shared" si="26"/>
        <v>77.832229999999996</v>
      </c>
      <c r="H259" t="s">
        <v>697</v>
      </c>
      <c r="K259">
        <f t="shared" ref="K259:K322" si="27">IF(J259&lt;&gt;"",J259,D259)</f>
        <v>390.96</v>
      </c>
    </row>
    <row r="260" spans="1:11" x14ac:dyDescent="0.15">
      <c r="A260" s="6">
        <v>258</v>
      </c>
      <c r="B260" t="s">
        <v>281</v>
      </c>
      <c r="C260" t="s">
        <v>14</v>
      </c>
      <c r="D260" s="7">
        <v>343.17</v>
      </c>
      <c r="E260" s="7">
        <v>351.67</v>
      </c>
      <c r="F260" s="7">
        <v>66.930000000000007</v>
      </c>
      <c r="G260">
        <f t="shared" ref="G260:G323" si="28">E260/1000+G259</f>
        <v>78.183899999999994</v>
      </c>
      <c r="H260" t="s">
        <v>697</v>
      </c>
      <c r="J260" s="7">
        <f>D260+8.5</f>
        <v>351.67</v>
      </c>
      <c r="K260">
        <f t="shared" si="27"/>
        <v>351.67</v>
      </c>
    </row>
    <row r="261" spans="1:11" x14ac:dyDescent="0.15">
      <c r="A261" s="6">
        <v>259</v>
      </c>
      <c r="B261" t="s">
        <v>282</v>
      </c>
      <c r="C261" t="s">
        <v>23</v>
      </c>
      <c r="D261" s="7">
        <v>297</v>
      </c>
      <c r="E261" s="7">
        <v>297</v>
      </c>
      <c r="F261" s="7">
        <v>2.99</v>
      </c>
      <c r="G261">
        <f t="shared" si="28"/>
        <v>78.480899999999991</v>
      </c>
      <c r="H261" t="s">
        <v>697</v>
      </c>
      <c r="K261">
        <f t="shared" si="27"/>
        <v>297</v>
      </c>
    </row>
    <row r="262" spans="1:11" x14ac:dyDescent="0.15">
      <c r="A262" s="6">
        <v>260</v>
      </c>
      <c r="B262" t="s">
        <v>283</v>
      </c>
      <c r="C262" t="s">
        <v>23</v>
      </c>
      <c r="D262" s="7">
        <v>290.06</v>
      </c>
      <c r="E262" s="7">
        <v>290.06</v>
      </c>
      <c r="F262" s="7">
        <v>1.54</v>
      </c>
      <c r="G262">
        <f t="shared" si="28"/>
        <v>78.770959999999988</v>
      </c>
      <c r="H262" t="s">
        <v>697</v>
      </c>
      <c r="K262">
        <f t="shared" si="27"/>
        <v>290.06</v>
      </c>
    </row>
    <row r="263" spans="1:11" x14ac:dyDescent="0.15">
      <c r="A263" s="6">
        <v>261</v>
      </c>
      <c r="B263" t="s">
        <v>284</v>
      </c>
      <c r="C263" t="s">
        <v>23</v>
      </c>
      <c r="D263" s="7">
        <v>194.27</v>
      </c>
      <c r="E263" s="7">
        <v>194.27</v>
      </c>
      <c r="F263" s="7">
        <v>7.0000000000000007E-2</v>
      </c>
      <c r="G263">
        <f t="shared" si="28"/>
        <v>78.965229999999991</v>
      </c>
      <c r="H263" t="s">
        <v>697</v>
      </c>
      <c r="K263">
        <f t="shared" si="27"/>
        <v>194.27</v>
      </c>
    </row>
    <row r="264" spans="1:11" x14ac:dyDescent="0.15">
      <c r="A264" s="6">
        <v>262</v>
      </c>
      <c r="B264" t="s">
        <v>285</v>
      </c>
      <c r="C264" t="s">
        <v>19</v>
      </c>
      <c r="D264" s="7">
        <v>302.67</v>
      </c>
      <c r="E264" s="7">
        <v>311.17</v>
      </c>
      <c r="F264" s="7">
        <v>23.47</v>
      </c>
      <c r="G264">
        <f t="shared" si="28"/>
        <v>79.276399999999995</v>
      </c>
      <c r="H264" t="s">
        <v>697</v>
      </c>
      <c r="J264" s="7">
        <f>D264+8.5</f>
        <v>311.17</v>
      </c>
      <c r="K264">
        <f t="shared" si="27"/>
        <v>311.17</v>
      </c>
    </row>
    <row r="265" spans="1:11" x14ac:dyDescent="0.15">
      <c r="A265" s="6">
        <v>263</v>
      </c>
      <c r="B265" t="s">
        <v>286</v>
      </c>
      <c r="C265" t="s">
        <v>23</v>
      </c>
      <c r="D265" s="7">
        <v>367.56</v>
      </c>
      <c r="E265" s="7">
        <v>367.56</v>
      </c>
      <c r="F265" s="7">
        <v>1.03</v>
      </c>
      <c r="G265">
        <f t="shared" si="28"/>
        <v>79.643959999999993</v>
      </c>
      <c r="H265" t="s">
        <v>697</v>
      </c>
      <c r="K265">
        <f t="shared" si="27"/>
        <v>367.56</v>
      </c>
    </row>
    <row r="266" spans="1:11" x14ac:dyDescent="0.15">
      <c r="A266" s="6">
        <v>264</v>
      </c>
      <c r="B266" t="s">
        <v>287</v>
      </c>
      <c r="C266" t="s">
        <v>23</v>
      </c>
      <c r="D266" s="7">
        <v>305.45999999999998</v>
      </c>
      <c r="E266" s="7">
        <v>305.45999999999998</v>
      </c>
      <c r="F266" s="7">
        <v>0.46</v>
      </c>
      <c r="G266">
        <f t="shared" si="28"/>
        <v>79.949419999999989</v>
      </c>
      <c r="H266" t="s">
        <v>697</v>
      </c>
      <c r="K266">
        <f t="shared" si="27"/>
        <v>305.45999999999998</v>
      </c>
    </row>
    <row r="267" spans="1:11" x14ac:dyDescent="0.15">
      <c r="A267" s="6">
        <v>265</v>
      </c>
      <c r="B267" t="s">
        <v>288</v>
      </c>
      <c r="C267" t="s">
        <v>23</v>
      </c>
      <c r="D267" s="7">
        <v>333.43</v>
      </c>
      <c r="E267" s="7">
        <v>333.43</v>
      </c>
      <c r="F267" s="7">
        <v>1.45</v>
      </c>
      <c r="G267">
        <f t="shared" si="28"/>
        <v>80.282849999999996</v>
      </c>
      <c r="H267" t="s">
        <v>697</v>
      </c>
      <c r="K267">
        <f t="shared" si="27"/>
        <v>333.43</v>
      </c>
    </row>
    <row r="268" spans="1:11" x14ac:dyDescent="0.15">
      <c r="A268" s="6">
        <v>266</v>
      </c>
      <c r="B268" t="s">
        <v>289</v>
      </c>
      <c r="C268" t="s">
        <v>23</v>
      </c>
      <c r="D268" s="7">
        <v>305.72000000000003</v>
      </c>
      <c r="E268" s="7">
        <v>305.72000000000003</v>
      </c>
      <c r="F268" s="7">
        <v>1.74</v>
      </c>
      <c r="G268">
        <f t="shared" si="28"/>
        <v>80.58856999999999</v>
      </c>
      <c r="H268" t="s">
        <v>697</v>
      </c>
      <c r="K268">
        <f t="shared" si="27"/>
        <v>305.72000000000003</v>
      </c>
    </row>
    <row r="269" spans="1:11" x14ac:dyDescent="0.15">
      <c r="A269" s="6">
        <v>267</v>
      </c>
      <c r="B269" t="s">
        <v>290</v>
      </c>
      <c r="C269" t="s">
        <v>23</v>
      </c>
      <c r="D269" s="7">
        <v>312.76</v>
      </c>
      <c r="E269" s="7">
        <v>312.76</v>
      </c>
      <c r="F269" s="7">
        <v>0.83</v>
      </c>
      <c r="G269">
        <f t="shared" si="28"/>
        <v>80.901329999999987</v>
      </c>
      <c r="H269" t="s">
        <v>697</v>
      </c>
      <c r="K269">
        <f t="shared" si="27"/>
        <v>312.76</v>
      </c>
    </row>
    <row r="270" spans="1:11" x14ac:dyDescent="0.15">
      <c r="A270" s="6">
        <v>268</v>
      </c>
      <c r="B270" t="s">
        <v>291</v>
      </c>
      <c r="C270" t="s">
        <v>23</v>
      </c>
      <c r="D270" s="7">
        <v>272.17</v>
      </c>
      <c r="E270" s="7">
        <v>272.17</v>
      </c>
      <c r="F270" s="7">
        <v>0.63</v>
      </c>
      <c r="G270">
        <f t="shared" si="28"/>
        <v>81.17349999999999</v>
      </c>
      <c r="H270" t="s">
        <v>697</v>
      </c>
      <c r="K270">
        <f t="shared" si="27"/>
        <v>272.17</v>
      </c>
    </row>
    <row r="271" spans="1:11" x14ac:dyDescent="0.15">
      <c r="A271" s="6">
        <v>269</v>
      </c>
      <c r="B271" t="s">
        <v>292</v>
      </c>
      <c r="C271" t="s">
        <v>23</v>
      </c>
      <c r="D271" s="7">
        <v>402.73</v>
      </c>
      <c r="E271" s="7">
        <v>402.73</v>
      </c>
      <c r="F271" s="7">
        <v>0.51</v>
      </c>
      <c r="G271">
        <f t="shared" si="28"/>
        <v>81.576229999999995</v>
      </c>
      <c r="H271" t="s">
        <v>697</v>
      </c>
      <c r="K271">
        <f t="shared" si="27"/>
        <v>402.73</v>
      </c>
    </row>
    <row r="272" spans="1:11" x14ac:dyDescent="0.15">
      <c r="A272" s="6">
        <v>270</v>
      </c>
      <c r="B272" t="s">
        <v>293</v>
      </c>
      <c r="C272" t="s">
        <v>23</v>
      </c>
      <c r="D272" s="7">
        <v>333.5</v>
      </c>
      <c r="E272" s="7">
        <v>333.5</v>
      </c>
      <c r="F272" s="7">
        <v>0.61</v>
      </c>
      <c r="G272">
        <f t="shared" si="28"/>
        <v>81.909729999999996</v>
      </c>
      <c r="H272" t="s">
        <v>697</v>
      </c>
      <c r="K272">
        <f t="shared" si="27"/>
        <v>333.5</v>
      </c>
    </row>
    <row r="273" spans="1:11" x14ac:dyDescent="0.15">
      <c r="A273" s="6">
        <v>271</v>
      </c>
      <c r="B273" t="s">
        <v>294</v>
      </c>
      <c r="C273" t="s">
        <v>23</v>
      </c>
      <c r="D273" s="7">
        <v>349.94</v>
      </c>
      <c r="E273" s="7">
        <v>349.94</v>
      </c>
      <c r="F273" s="7">
        <v>0.85</v>
      </c>
      <c r="G273">
        <f t="shared" si="28"/>
        <v>82.25967</v>
      </c>
      <c r="H273" t="s">
        <v>697</v>
      </c>
      <c r="K273">
        <f t="shared" si="27"/>
        <v>349.94</v>
      </c>
    </row>
    <row r="274" spans="1:11" x14ac:dyDescent="0.15">
      <c r="A274" s="6">
        <v>272</v>
      </c>
      <c r="B274" t="s">
        <v>295</v>
      </c>
      <c r="C274" t="s">
        <v>23</v>
      </c>
      <c r="D274" s="7">
        <v>348.49</v>
      </c>
      <c r="E274" s="7">
        <v>348.49</v>
      </c>
      <c r="F274" s="7">
        <v>0.2</v>
      </c>
      <c r="G274">
        <f t="shared" si="28"/>
        <v>82.608159999999998</v>
      </c>
      <c r="H274" t="s">
        <v>697</v>
      </c>
      <c r="K274">
        <f t="shared" si="27"/>
        <v>348.49</v>
      </c>
    </row>
    <row r="275" spans="1:11" x14ac:dyDescent="0.15">
      <c r="A275" s="6">
        <v>273</v>
      </c>
      <c r="B275" t="s">
        <v>296</v>
      </c>
      <c r="C275" t="s">
        <v>16</v>
      </c>
      <c r="D275" s="7">
        <v>280.73</v>
      </c>
      <c r="E275" s="7">
        <v>280.73</v>
      </c>
      <c r="F275" s="7">
        <v>2.78</v>
      </c>
      <c r="G275">
        <f t="shared" si="28"/>
        <v>82.888890000000004</v>
      </c>
      <c r="H275" t="s">
        <v>697</v>
      </c>
      <c r="K275">
        <f t="shared" si="27"/>
        <v>280.73</v>
      </c>
    </row>
    <row r="276" spans="1:11" x14ac:dyDescent="0.15">
      <c r="A276" s="6">
        <v>274</v>
      </c>
      <c r="B276" t="s">
        <v>297</v>
      </c>
      <c r="C276" t="s">
        <v>23</v>
      </c>
      <c r="D276" s="7">
        <v>338.32</v>
      </c>
      <c r="E276" s="7">
        <v>338.32</v>
      </c>
      <c r="F276" s="7">
        <v>0.06</v>
      </c>
      <c r="G276">
        <f t="shared" si="28"/>
        <v>83.227209999999999</v>
      </c>
      <c r="H276" t="s">
        <v>697</v>
      </c>
      <c r="K276">
        <f t="shared" si="27"/>
        <v>338.32</v>
      </c>
    </row>
    <row r="277" spans="1:11" x14ac:dyDescent="0.15">
      <c r="A277" s="6">
        <v>275</v>
      </c>
      <c r="B277" t="s">
        <v>298</v>
      </c>
      <c r="C277" t="s">
        <v>23</v>
      </c>
      <c r="D277" s="7">
        <v>322.85000000000002</v>
      </c>
      <c r="E277" s="7">
        <v>322.85000000000002</v>
      </c>
      <c r="F277" s="7">
        <v>0.41</v>
      </c>
      <c r="G277">
        <f t="shared" si="28"/>
        <v>83.550060000000002</v>
      </c>
      <c r="H277" t="s">
        <v>697</v>
      </c>
      <c r="K277">
        <f t="shared" si="27"/>
        <v>322.85000000000002</v>
      </c>
    </row>
    <row r="278" spans="1:11" x14ac:dyDescent="0.15">
      <c r="A278" s="6">
        <v>276</v>
      </c>
      <c r="B278" t="s">
        <v>299</v>
      </c>
      <c r="C278" t="s">
        <v>23</v>
      </c>
      <c r="D278" s="7">
        <v>349.57</v>
      </c>
      <c r="E278" s="7">
        <v>349.57</v>
      </c>
      <c r="F278" s="7">
        <v>0.1</v>
      </c>
      <c r="G278">
        <f t="shared" si="28"/>
        <v>83.899630000000002</v>
      </c>
      <c r="H278" t="s">
        <v>697</v>
      </c>
      <c r="K278">
        <f t="shared" si="27"/>
        <v>349.57</v>
      </c>
    </row>
    <row r="279" spans="1:11" x14ac:dyDescent="0.15">
      <c r="A279" s="6">
        <v>277</v>
      </c>
      <c r="B279" t="s">
        <v>300</v>
      </c>
      <c r="C279" t="s">
        <v>23</v>
      </c>
      <c r="D279" s="7">
        <v>293.16000000000003</v>
      </c>
      <c r="E279" s="7">
        <v>293.16000000000003</v>
      </c>
      <c r="F279" s="7">
        <v>0.28000000000000003</v>
      </c>
      <c r="G279">
        <f t="shared" si="28"/>
        <v>84.192790000000002</v>
      </c>
      <c r="H279" t="s">
        <v>697</v>
      </c>
      <c r="K279">
        <f t="shared" si="27"/>
        <v>293.16000000000003</v>
      </c>
    </row>
    <row r="280" spans="1:11" x14ac:dyDescent="0.15">
      <c r="A280" s="6">
        <v>278</v>
      </c>
      <c r="B280" t="s">
        <v>698</v>
      </c>
      <c r="C280" t="s">
        <v>23</v>
      </c>
      <c r="D280" s="7">
        <v>337.07</v>
      </c>
      <c r="E280" s="7">
        <v>337.07</v>
      </c>
      <c r="F280" s="7">
        <v>0.85</v>
      </c>
      <c r="G280">
        <f t="shared" si="28"/>
        <v>84.529859999999999</v>
      </c>
      <c r="H280" t="s">
        <v>697</v>
      </c>
      <c r="K280">
        <f t="shared" si="27"/>
        <v>337.07</v>
      </c>
    </row>
    <row r="281" spans="1:11" x14ac:dyDescent="0.15">
      <c r="A281" s="6">
        <v>279</v>
      </c>
      <c r="B281" t="s">
        <v>699</v>
      </c>
      <c r="C281" t="s">
        <v>23</v>
      </c>
      <c r="D281" s="7">
        <v>322.95</v>
      </c>
      <c r="E281" s="7">
        <v>322.95</v>
      </c>
      <c r="F281" s="7">
        <v>1.66</v>
      </c>
      <c r="G281">
        <f t="shared" si="28"/>
        <v>84.852810000000005</v>
      </c>
      <c r="H281" t="s">
        <v>697</v>
      </c>
      <c r="K281">
        <f t="shared" si="27"/>
        <v>322.95</v>
      </c>
    </row>
    <row r="282" spans="1:11" x14ac:dyDescent="0.15">
      <c r="A282" s="6">
        <v>280</v>
      </c>
      <c r="B282" t="s">
        <v>303</v>
      </c>
      <c r="C282" t="s">
        <v>23</v>
      </c>
      <c r="D282" s="7">
        <v>335.84</v>
      </c>
      <c r="E282" s="7">
        <v>335.84</v>
      </c>
      <c r="F282" s="7">
        <v>1.36</v>
      </c>
      <c r="G282">
        <f t="shared" si="28"/>
        <v>85.18865000000001</v>
      </c>
      <c r="H282" t="s">
        <v>697</v>
      </c>
      <c r="K282">
        <f t="shared" si="27"/>
        <v>335.84</v>
      </c>
    </row>
    <row r="283" spans="1:11" x14ac:dyDescent="0.15">
      <c r="A283" s="6">
        <v>281</v>
      </c>
      <c r="B283" t="s">
        <v>304</v>
      </c>
      <c r="C283" t="s">
        <v>23</v>
      </c>
      <c r="D283" s="7">
        <v>344.42</v>
      </c>
      <c r="E283" s="7">
        <v>344.42</v>
      </c>
      <c r="F283" s="7">
        <v>0.19</v>
      </c>
      <c r="G283">
        <f t="shared" si="28"/>
        <v>85.533070000000009</v>
      </c>
      <c r="H283" t="s">
        <v>697</v>
      </c>
      <c r="K283">
        <f t="shared" si="27"/>
        <v>344.42</v>
      </c>
    </row>
    <row r="284" spans="1:11" x14ac:dyDescent="0.15">
      <c r="A284" s="6">
        <v>282</v>
      </c>
      <c r="B284" t="s">
        <v>305</v>
      </c>
      <c r="C284" t="s">
        <v>23</v>
      </c>
      <c r="D284" s="7">
        <v>359.18</v>
      </c>
      <c r="E284" s="7">
        <v>359.18</v>
      </c>
      <c r="F284" s="7">
        <v>0.68</v>
      </c>
      <c r="G284">
        <f t="shared" si="28"/>
        <v>85.892250000000004</v>
      </c>
      <c r="H284" t="s">
        <v>697</v>
      </c>
      <c r="K284">
        <f t="shared" si="27"/>
        <v>359.18</v>
      </c>
    </row>
    <row r="285" spans="1:11" x14ac:dyDescent="0.15">
      <c r="A285" s="6">
        <v>283</v>
      </c>
      <c r="B285" t="s">
        <v>700</v>
      </c>
      <c r="C285" t="s">
        <v>23</v>
      </c>
      <c r="D285" s="7">
        <v>337.6</v>
      </c>
      <c r="E285" s="7">
        <v>337.6</v>
      </c>
      <c r="F285" s="7">
        <v>1.43</v>
      </c>
      <c r="G285">
        <f t="shared" si="28"/>
        <v>86.229849999999999</v>
      </c>
      <c r="H285" t="s">
        <v>697</v>
      </c>
      <c r="K285">
        <f t="shared" si="27"/>
        <v>337.6</v>
      </c>
    </row>
    <row r="286" spans="1:11" x14ac:dyDescent="0.15">
      <c r="A286" s="6">
        <v>284</v>
      </c>
      <c r="B286" t="s">
        <v>701</v>
      </c>
      <c r="C286" t="s">
        <v>16</v>
      </c>
      <c r="D286" s="7">
        <v>261.95</v>
      </c>
      <c r="E286" s="7">
        <v>261.95</v>
      </c>
      <c r="F286" s="7">
        <v>15.05</v>
      </c>
      <c r="G286">
        <f t="shared" si="28"/>
        <v>86.491799999999998</v>
      </c>
      <c r="H286" t="s">
        <v>697</v>
      </c>
      <c r="K286">
        <f t="shared" si="27"/>
        <v>261.95</v>
      </c>
    </row>
    <row r="287" spans="1:11" x14ac:dyDescent="0.15">
      <c r="A287" s="6">
        <v>285</v>
      </c>
      <c r="B287" t="s">
        <v>308</v>
      </c>
      <c r="C287" t="s">
        <v>23</v>
      </c>
      <c r="D287" s="7">
        <v>324.74</v>
      </c>
      <c r="E287" s="7">
        <v>324.74</v>
      </c>
      <c r="F287" s="7">
        <v>0.94</v>
      </c>
      <c r="G287">
        <f t="shared" si="28"/>
        <v>86.816540000000003</v>
      </c>
      <c r="H287" t="s">
        <v>697</v>
      </c>
      <c r="K287">
        <f t="shared" si="27"/>
        <v>324.74</v>
      </c>
    </row>
    <row r="288" spans="1:11" x14ac:dyDescent="0.15">
      <c r="A288" s="6">
        <v>286</v>
      </c>
      <c r="B288" t="s">
        <v>309</v>
      </c>
      <c r="C288" t="s">
        <v>23</v>
      </c>
      <c r="D288" s="7">
        <v>298.82</v>
      </c>
      <c r="E288" s="7">
        <v>298.82</v>
      </c>
      <c r="F288" s="7">
        <v>2.08</v>
      </c>
      <c r="G288">
        <f t="shared" si="28"/>
        <v>87.11536000000001</v>
      </c>
      <c r="H288" t="s">
        <v>697</v>
      </c>
      <c r="K288">
        <f t="shared" si="27"/>
        <v>298.82</v>
      </c>
    </row>
    <row r="289" spans="1:11" x14ac:dyDescent="0.15">
      <c r="A289" s="6">
        <v>287</v>
      </c>
      <c r="B289" t="s">
        <v>310</v>
      </c>
      <c r="C289" t="s">
        <v>23</v>
      </c>
      <c r="D289" s="7">
        <v>238.07</v>
      </c>
      <c r="E289" s="7">
        <v>238.07</v>
      </c>
      <c r="F289" s="7">
        <v>1.08</v>
      </c>
      <c r="G289">
        <f t="shared" si="28"/>
        <v>87.353430000000003</v>
      </c>
      <c r="H289" t="s">
        <v>697</v>
      </c>
      <c r="K289">
        <f t="shared" si="27"/>
        <v>238.07</v>
      </c>
    </row>
    <row r="290" spans="1:11" x14ac:dyDescent="0.15">
      <c r="A290" s="6">
        <v>288</v>
      </c>
      <c r="B290" t="s">
        <v>311</v>
      </c>
      <c r="C290" t="s">
        <v>23</v>
      </c>
      <c r="D290" s="7">
        <v>402.89</v>
      </c>
      <c r="E290" s="7">
        <v>402.89</v>
      </c>
      <c r="F290" s="7">
        <v>0.16</v>
      </c>
      <c r="G290">
        <f t="shared" si="28"/>
        <v>87.756320000000002</v>
      </c>
      <c r="H290" t="s">
        <v>697</v>
      </c>
      <c r="K290">
        <f t="shared" si="27"/>
        <v>402.89</v>
      </c>
    </row>
    <row r="291" spans="1:11" x14ac:dyDescent="0.15">
      <c r="A291" s="6">
        <v>289</v>
      </c>
      <c r="B291" t="s">
        <v>312</v>
      </c>
      <c r="C291" t="s">
        <v>19</v>
      </c>
      <c r="D291" s="7">
        <v>333.66</v>
      </c>
      <c r="E291" s="7">
        <v>342.16</v>
      </c>
      <c r="F291" s="7">
        <v>11.57</v>
      </c>
      <c r="G291">
        <f t="shared" si="28"/>
        <v>88.098480000000009</v>
      </c>
      <c r="H291" t="s">
        <v>697</v>
      </c>
      <c r="J291" s="7">
        <f>D291+8.5</f>
        <v>342.16</v>
      </c>
      <c r="K291">
        <f t="shared" si="27"/>
        <v>342.16</v>
      </c>
    </row>
    <row r="292" spans="1:11" x14ac:dyDescent="0.15">
      <c r="A292" s="6">
        <v>290</v>
      </c>
      <c r="B292" t="s">
        <v>313</v>
      </c>
      <c r="C292" t="s">
        <v>23</v>
      </c>
      <c r="D292" s="7">
        <v>361.12</v>
      </c>
      <c r="E292" s="7">
        <v>361.12</v>
      </c>
      <c r="F292" s="7">
        <v>1.78</v>
      </c>
      <c r="G292">
        <f t="shared" si="28"/>
        <v>88.459600000000009</v>
      </c>
      <c r="H292" t="s">
        <v>697</v>
      </c>
      <c r="K292">
        <f t="shared" si="27"/>
        <v>361.12</v>
      </c>
    </row>
    <row r="293" spans="1:11" x14ac:dyDescent="0.15">
      <c r="A293" s="6">
        <v>291</v>
      </c>
      <c r="B293" t="s">
        <v>314</v>
      </c>
      <c r="C293" t="s">
        <v>23</v>
      </c>
      <c r="D293" s="7">
        <v>351.63</v>
      </c>
      <c r="E293" s="7">
        <v>351.63</v>
      </c>
      <c r="F293" s="7">
        <v>1.5</v>
      </c>
      <c r="G293">
        <f t="shared" si="28"/>
        <v>88.811230000000009</v>
      </c>
      <c r="H293" t="s">
        <v>697</v>
      </c>
      <c r="K293">
        <f t="shared" si="27"/>
        <v>351.63</v>
      </c>
    </row>
    <row r="294" spans="1:11" x14ac:dyDescent="0.15">
      <c r="A294" s="6">
        <v>292</v>
      </c>
      <c r="B294" t="s">
        <v>315</v>
      </c>
      <c r="C294" t="s">
        <v>23</v>
      </c>
      <c r="D294" s="7">
        <v>382.68</v>
      </c>
      <c r="E294" s="7">
        <v>382.68</v>
      </c>
      <c r="F294" s="7">
        <v>1.02</v>
      </c>
      <c r="G294">
        <f t="shared" si="28"/>
        <v>89.193910000000002</v>
      </c>
      <c r="H294" t="s">
        <v>697</v>
      </c>
      <c r="K294">
        <f t="shared" si="27"/>
        <v>382.68</v>
      </c>
    </row>
    <row r="295" spans="1:11" x14ac:dyDescent="0.15">
      <c r="A295" s="6">
        <v>293</v>
      </c>
      <c r="B295" t="s">
        <v>316</v>
      </c>
      <c r="C295" t="s">
        <v>19</v>
      </c>
      <c r="D295" s="7">
        <v>328.27</v>
      </c>
      <c r="E295" s="7">
        <v>336.77</v>
      </c>
      <c r="F295" s="7">
        <v>42.97</v>
      </c>
      <c r="G295">
        <f t="shared" si="28"/>
        <v>89.530680000000004</v>
      </c>
      <c r="H295" t="s">
        <v>697</v>
      </c>
      <c r="J295" s="7">
        <f>D295+8.5</f>
        <v>336.77</v>
      </c>
      <c r="K295">
        <f t="shared" si="27"/>
        <v>336.77</v>
      </c>
    </row>
    <row r="296" spans="1:11" x14ac:dyDescent="0.15">
      <c r="A296" s="6">
        <v>294</v>
      </c>
      <c r="B296" t="s">
        <v>317</v>
      </c>
      <c r="C296" t="s">
        <v>23</v>
      </c>
      <c r="D296" s="7">
        <v>267.83999999999997</v>
      </c>
      <c r="E296" s="7">
        <v>267.83999999999997</v>
      </c>
      <c r="F296" s="7">
        <v>1.0900000000000001</v>
      </c>
      <c r="G296">
        <f t="shared" si="28"/>
        <v>89.798520000000011</v>
      </c>
      <c r="H296" t="s">
        <v>697</v>
      </c>
      <c r="K296">
        <f t="shared" si="27"/>
        <v>267.83999999999997</v>
      </c>
    </row>
    <row r="297" spans="1:11" x14ac:dyDescent="0.15">
      <c r="A297" s="6">
        <v>295</v>
      </c>
      <c r="B297" t="s">
        <v>318</v>
      </c>
      <c r="C297" t="s">
        <v>16</v>
      </c>
      <c r="D297" s="7">
        <v>261.5</v>
      </c>
      <c r="E297" s="7">
        <v>261.5</v>
      </c>
      <c r="F297" s="7">
        <v>0.96</v>
      </c>
      <c r="G297">
        <f t="shared" si="28"/>
        <v>90.060020000000009</v>
      </c>
      <c r="H297" t="s">
        <v>697</v>
      </c>
      <c r="K297">
        <f t="shared" si="27"/>
        <v>261.5</v>
      </c>
    </row>
    <row r="298" spans="1:11" x14ac:dyDescent="0.15">
      <c r="A298" s="6">
        <v>296</v>
      </c>
      <c r="B298" t="s">
        <v>319</v>
      </c>
      <c r="C298" t="s">
        <v>23</v>
      </c>
      <c r="D298" s="7">
        <v>298.45999999999998</v>
      </c>
      <c r="E298" s="7">
        <v>298.45999999999998</v>
      </c>
      <c r="F298" s="7">
        <v>0.52</v>
      </c>
      <c r="G298">
        <f t="shared" si="28"/>
        <v>90.358480000000014</v>
      </c>
      <c r="H298" t="s">
        <v>697</v>
      </c>
      <c r="K298">
        <f t="shared" si="27"/>
        <v>298.45999999999998</v>
      </c>
    </row>
    <row r="299" spans="1:11" x14ac:dyDescent="0.15">
      <c r="A299" s="6">
        <v>297</v>
      </c>
      <c r="B299" t="s">
        <v>320</v>
      </c>
      <c r="C299" t="s">
        <v>28</v>
      </c>
      <c r="D299" s="7">
        <v>305.76</v>
      </c>
      <c r="E299" s="7">
        <v>314.26</v>
      </c>
      <c r="F299" s="7">
        <v>24.05</v>
      </c>
      <c r="G299">
        <f t="shared" si="28"/>
        <v>90.672740000000019</v>
      </c>
      <c r="H299" t="s">
        <v>697</v>
      </c>
      <c r="J299" s="7">
        <f>D299+8.5</f>
        <v>314.26</v>
      </c>
      <c r="K299">
        <f t="shared" si="27"/>
        <v>314.26</v>
      </c>
    </row>
    <row r="300" spans="1:11" x14ac:dyDescent="0.15">
      <c r="A300" s="6">
        <v>298</v>
      </c>
      <c r="B300" t="s">
        <v>321</v>
      </c>
      <c r="C300" t="s">
        <v>16</v>
      </c>
      <c r="D300" s="7">
        <v>310.95999999999998</v>
      </c>
      <c r="E300" s="7">
        <v>310.95999999999998</v>
      </c>
      <c r="F300" s="7">
        <v>0.71</v>
      </c>
      <c r="G300">
        <f t="shared" si="28"/>
        <v>90.983700000000013</v>
      </c>
      <c r="H300" t="s">
        <v>697</v>
      </c>
      <c r="K300">
        <f t="shared" si="27"/>
        <v>310.95999999999998</v>
      </c>
    </row>
    <row r="301" spans="1:11" x14ac:dyDescent="0.15">
      <c r="A301" s="6">
        <v>299</v>
      </c>
      <c r="B301" t="s">
        <v>322</v>
      </c>
      <c r="C301" t="s">
        <v>23</v>
      </c>
      <c r="D301" s="7">
        <v>300.58999999999997</v>
      </c>
      <c r="E301" s="7">
        <v>300.58999999999997</v>
      </c>
      <c r="F301" s="7">
        <v>0.41</v>
      </c>
      <c r="G301">
        <f t="shared" si="28"/>
        <v>91.284290000000013</v>
      </c>
      <c r="H301" t="s">
        <v>697</v>
      </c>
      <c r="K301">
        <f t="shared" si="27"/>
        <v>300.58999999999997</v>
      </c>
    </row>
    <row r="302" spans="1:11" x14ac:dyDescent="0.15">
      <c r="A302" s="6">
        <v>300</v>
      </c>
      <c r="B302" t="s">
        <v>323</v>
      </c>
      <c r="C302" t="s">
        <v>23</v>
      </c>
      <c r="D302" s="7">
        <v>318.49</v>
      </c>
      <c r="E302" s="7">
        <v>318.49</v>
      </c>
      <c r="F302" s="7">
        <v>7.0000000000000007E-2</v>
      </c>
      <c r="G302">
        <f t="shared" si="28"/>
        <v>91.60278000000001</v>
      </c>
      <c r="H302" t="s">
        <v>697</v>
      </c>
      <c r="K302">
        <f t="shared" si="27"/>
        <v>318.49</v>
      </c>
    </row>
    <row r="303" spans="1:11" x14ac:dyDescent="0.15">
      <c r="A303" s="6">
        <v>301</v>
      </c>
      <c r="B303" t="s">
        <v>324</v>
      </c>
      <c r="C303" t="s">
        <v>23</v>
      </c>
      <c r="D303" s="7">
        <v>309.63</v>
      </c>
      <c r="E303" s="7">
        <v>309.63</v>
      </c>
      <c r="F303" s="7">
        <v>0.86</v>
      </c>
      <c r="G303">
        <f t="shared" si="28"/>
        <v>91.912410000000008</v>
      </c>
      <c r="H303" t="s">
        <v>697</v>
      </c>
      <c r="K303">
        <f t="shared" si="27"/>
        <v>309.63</v>
      </c>
    </row>
    <row r="304" spans="1:11" x14ac:dyDescent="0.15">
      <c r="A304" s="6">
        <v>302</v>
      </c>
      <c r="B304" t="s">
        <v>325</v>
      </c>
      <c r="C304" t="s">
        <v>23</v>
      </c>
      <c r="D304" s="7">
        <v>319.58</v>
      </c>
      <c r="E304" s="7">
        <v>319.58</v>
      </c>
      <c r="F304" s="7">
        <v>0.59</v>
      </c>
      <c r="G304">
        <f t="shared" si="28"/>
        <v>92.23199000000001</v>
      </c>
      <c r="H304" t="s">
        <v>697</v>
      </c>
      <c r="K304">
        <f t="shared" si="27"/>
        <v>319.58</v>
      </c>
    </row>
    <row r="305" spans="1:11" x14ac:dyDescent="0.15">
      <c r="A305" s="6">
        <v>303</v>
      </c>
      <c r="B305" t="s">
        <v>326</v>
      </c>
      <c r="C305" t="s">
        <v>23</v>
      </c>
      <c r="D305" s="7">
        <v>265.41000000000003</v>
      </c>
      <c r="E305" s="7">
        <v>265.41000000000003</v>
      </c>
      <c r="F305" s="7">
        <v>0.2</v>
      </c>
      <c r="G305">
        <f t="shared" si="28"/>
        <v>92.497400000000013</v>
      </c>
      <c r="H305" t="s">
        <v>697</v>
      </c>
      <c r="K305">
        <f t="shared" si="27"/>
        <v>265.41000000000003</v>
      </c>
    </row>
    <row r="306" spans="1:11" x14ac:dyDescent="0.15">
      <c r="A306" s="6">
        <v>304</v>
      </c>
      <c r="B306" t="s">
        <v>327</v>
      </c>
      <c r="C306" t="s">
        <v>23</v>
      </c>
      <c r="D306" s="7">
        <v>313.07</v>
      </c>
      <c r="E306" s="7">
        <v>313.07</v>
      </c>
      <c r="F306" s="7">
        <v>0.11</v>
      </c>
      <c r="G306">
        <f t="shared" si="28"/>
        <v>92.810470000000009</v>
      </c>
      <c r="H306" t="s">
        <v>697</v>
      </c>
      <c r="K306">
        <f t="shared" si="27"/>
        <v>313.07</v>
      </c>
    </row>
    <row r="307" spans="1:11" x14ac:dyDescent="0.15">
      <c r="A307" s="6">
        <v>305</v>
      </c>
      <c r="B307" t="s">
        <v>328</v>
      </c>
      <c r="C307" t="s">
        <v>16</v>
      </c>
      <c r="D307" s="7">
        <v>329.5</v>
      </c>
      <c r="E307" s="7">
        <v>329.5</v>
      </c>
      <c r="F307" s="7">
        <v>1.01</v>
      </c>
      <c r="G307">
        <f t="shared" si="28"/>
        <v>93.139970000000005</v>
      </c>
      <c r="H307" t="s">
        <v>697</v>
      </c>
      <c r="K307">
        <f t="shared" si="27"/>
        <v>329.5</v>
      </c>
    </row>
    <row r="308" spans="1:11" x14ac:dyDescent="0.15">
      <c r="A308" s="6">
        <v>306</v>
      </c>
      <c r="B308" t="s">
        <v>329</v>
      </c>
      <c r="C308" t="s">
        <v>23</v>
      </c>
      <c r="D308" s="7">
        <v>323.45999999999998</v>
      </c>
      <c r="E308" s="7">
        <v>323.45999999999998</v>
      </c>
      <c r="F308" s="7">
        <v>0.83</v>
      </c>
      <c r="G308">
        <f t="shared" si="28"/>
        <v>93.463430000000002</v>
      </c>
      <c r="H308" t="s">
        <v>697</v>
      </c>
      <c r="K308">
        <f t="shared" si="27"/>
        <v>323.45999999999998</v>
      </c>
    </row>
    <row r="309" spans="1:11" x14ac:dyDescent="0.15">
      <c r="A309" s="6">
        <v>307</v>
      </c>
      <c r="B309" t="s">
        <v>330</v>
      </c>
      <c r="C309" t="s">
        <v>23</v>
      </c>
      <c r="D309" s="7">
        <v>304.68</v>
      </c>
      <c r="E309" s="7">
        <v>304.68</v>
      </c>
      <c r="F309" s="7">
        <v>0.83</v>
      </c>
      <c r="G309">
        <f t="shared" si="28"/>
        <v>93.768110000000007</v>
      </c>
      <c r="H309" t="s">
        <v>697</v>
      </c>
      <c r="K309">
        <f t="shared" si="27"/>
        <v>304.68</v>
      </c>
    </row>
    <row r="310" spans="1:11" x14ac:dyDescent="0.15">
      <c r="A310" s="6">
        <v>308</v>
      </c>
      <c r="B310" t="s">
        <v>331</v>
      </c>
      <c r="C310" t="s">
        <v>23</v>
      </c>
      <c r="D310" s="7">
        <v>375.05</v>
      </c>
      <c r="E310" s="7">
        <v>375.05</v>
      </c>
      <c r="F310" s="7">
        <v>0.72</v>
      </c>
      <c r="G310">
        <f t="shared" si="28"/>
        <v>94.143160000000009</v>
      </c>
      <c r="H310" t="s">
        <v>697</v>
      </c>
      <c r="K310">
        <f t="shared" si="27"/>
        <v>375.05</v>
      </c>
    </row>
    <row r="311" spans="1:11" x14ac:dyDescent="0.15">
      <c r="A311" s="6">
        <v>309</v>
      </c>
      <c r="B311" t="s">
        <v>332</v>
      </c>
      <c r="C311" t="s">
        <v>23</v>
      </c>
      <c r="D311" s="7">
        <v>251.66</v>
      </c>
      <c r="E311" s="7">
        <v>251.66</v>
      </c>
      <c r="F311" s="7">
        <v>0.08</v>
      </c>
      <c r="G311">
        <f t="shared" si="28"/>
        <v>94.39482000000001</v>
      </c>
      <c r="H311" t="s">
        <v>697</v>
      </c>
      <c r="K311">
        <f t="shared" si="27"/>
        <v>251.66</v>
      </c>
    </row>
    <row r="312" spans="1:11" x14ac:dyDescent="0.15">
      <c r="A312" s="6">
        <v>310</v>
      </c>
      <c r="B312" t="s">
        <v>333</v>
      </c>
      <c r="C312" t="s">
        <v>23</v>
      </c>
      <c r="D312" s="7">
        <v>302.52</v>
      </c>
      <c r="E312" s="7">
        <v>302.52</v>
      </c>
      <c r="F312" s="7">
        <v>0.39</v>
      </c>
      <c r="G312">
        <f t="shared" si="28"/>
        <v>94.697340000000011</v>
      </c>
      <c r="H312" t="s">
        <v>697</v>
      </c>
      <c r="K312">
        <f t="shared" si="27"/>
        <v>302.52</v>
      </c>
    </row>
    <row r="313" spans="1:11" x14ac:dyDescent="0.15">
      <c r="A313" s="6">
        <v>311</v>
      </c>
      <c r="B313" t="s">
        <v>334</v>
      </c>
      <c r="C313" t="s">
        <v>16</v>
      </c>
      <c r="D313" s="7">
        <v>332.98</v>
      </c>
      <c r="E313" s="7">
        <v>332.98</v>
      </c>
      <c r="F313" s="7">
        <v>18.059999999999999</v>
      </c>
      <c r="G313">
        <f t="shared" si="28"/>
        <v>95.030320000000017</v>
      </c>
      <c r="H313" t="s">
        <v>697</v>
      </c>
      <c r="K313">
        <f t="shared" si="27"/>
        <v>332.98</v>
      </c>
    </row>
    <row r="314" spans="1:11" x14ac:dyDescent="0.15">
      <c r="A314" s="6">
        <v>312</v>
      </c>
      <c r="B314" t="s">
        <v>335</v>
      </c>
      <c r="C314" t="s">
        <v>23</v>
      </c>
      <c r="D314" s="7">
        <v>319.47000000000003</v>
      </c>
      <c r="E314" s="7">
        <v>319.47000000000003</v>
      </c>
      <c r="F314" s="7">
        <v>0.11</v>
      </c>
      <c r="G314">
        <f t="shared" si="28"/>
        <v>95.349790000000013</v>
      </c>
      <c r="H314" t="s">
        <v>697</v>
      </c>
      <c r="K314">
        <f t="shared" si="27"/>
        <v>319.47000000000003</v>
      </c>
    </row>
    <row r="315" spans="1:11" x14ac:dyDescent="0.15">
      <c r="A315" s="6">
        <v>313</v>
      </c>
      <c r="B315" t="s">
        <v>336</v>
      </c>
      <c r="C315" t="s">
        <v>23</v>
      </c>
      <c r="D315" s="7">
        <v>345.55</v>
      </c>
      <c r="E315" s="7">
        <v>345.55</v>
      </c>
      <c r="F315" s="7">
        <v>0.17</v>
      </c>
      <c r="G315">
        <f t="shared" si="28"/>
        <v>95.695340000000016</v>
      </c>
      <c r="H315" t="s">
        <v>697</v>
      </c>
      <c r="K315">
        <f t="shared" si="27"/>
        <v>345.55</v>
      </c>
    </row>
    <row r="316" spans="1:11" x14ac:dyDescent="0.15">
      <c r="A316" s="6">
        <v>314</v>
      </c>
      <c r="B316" t="s">
        <v>337</v>
      </c>
      <c r="C316" t="s">
        <v>19</v>
      </c>
      <c r="D316" s="7">
        <v>276.07</v>
      </c>
      <c r="E316" s="7">
        <v>284.57</v>
      </c>
      <c r="F316" s="7">
        <v>29.36</v>
      </c>
      <c r="G316">
        <f t="shared" si="28"/>
        <v>95.979910000000018</v>
      </c>
      <c r="H316" t="s">
        <v>697</v>
      </c>
      <c r="J316" s="7">
        <f>D316+8.5</f>
        <v>284.57</v>
      </c>
      <c r="K316">
        <f t="shared" si="27"/>
        <v>284.57</v>
      </c>
    </row>
    <row r="317" spans="1:11" x14ac:dyDescent="0.15">
      <c r="A317" s="6">
        <v>315</v>
      </c>
      <c r="B317" t="s">
        <v>338</v>
      </c>
      <c r="C317" t="s">
        <v>23</v>
      </c>
      <c r="D317" s="7">
        <v>266.39</v>
      </c>
      <c r="E317" s="7">
        <v>266.39</v>
      </c>
      <c r="F317" s="7">
        <v>0.28999999999999998</v>
      </c>
      <c r="G317">
        <f t="shared" si="28"/>
        <v>96.246300000000019</v>
      </c>
      <c r="H317" t="s">
        <v>697</v>
      </c>
      <c r="K317">
        <f t="shared" si="27"/>
        <v>266.39</v>
      </c>
    </row>
    <row r="318" spans="1:11" x14ac:dyDescent="0.15">
      <c r="A318" s="6">
        <v>316</v>
      </c>
      <c r="B318" t="s">
        <v>339</v>
      </c>
      <c r="C318" t="s">
        <v>19</v>
      </c>
      <c r="D318" s="7">
        <v>344.63</v>
      </c>
      <c r="E318" s="7">
        <v>353.13</v>
      </c>
      <c r="F318" s="7">
        <v>17.170000000000002</v>
      </c>
      <c r="G318">
        <f t="shared" si="28"/>
        <v>96.599430000000012</v>
      </c>
      <c r="H318" t="s">
        <v>697</v>
      </c>
      <c r="J318" s="7">
        <f>D318+8.5</f>
        <v>353.13</v>
      </c>
      <c r="K318">
        <f t="shared" si="27"/>
        <v>353.13</v>
      </c>
    </row>
    <row r="319" spans="1:11" x14ac:dyDescent="0.15">
      <c r="A319" s="6">
        <v>317</v>
      </c>
      <c r="B319" t="s">
        <v>340</v>
      </c>
      <c r="C319" t="s">
        <v>23</v>
      </c>
      <c r="D319" s="7">
        <v>332.17</v>
      </c>
      <c r="E319" s="7">
        <v>332.17</v>
      </c>
      <c r="F319" s="7">
        <v>0.33</v>
      </c>
      <c r="G319">
        <f t="shared" si="28"/>
        <v>96.931600000000017</v>
      </c>
      <c r="H319" t="s">
        <v>697</v>
      </c>
      <c r="K319">
        <f t="shared" si="27"/>
        <v>332.17</v>
      </c>
    </row>
    <row r="320" spans="1:11" x14ac:dyDescent="0.15">
      <c r="A320" s="6">
        <v>318</v>
      </c>
      <c r="B320" t="s">
        <v>341</v>
      </c>
      <c r="C320" t="s">
        <v>23</v>
      </c>
      <c r="D320" s="7">
        <v>315.57</v>
      </c>
      <c r="E320" s="7">
        <v>315.57</v>
      </c>
      <c r="F320" s="7">
        <v>0.57999999999999996</v>
      </c>
      <c r="G320">
        <f t="shared" si="28"/>
        <v>97.247170000000011</v>
      </c>
      <c r="H320" t="s">
        <v>697</v>
      </c>
      <c r="K320">
        <f t="shared" si="27"/>
        <v>315.57</v>
      </c>
    </row>
    <row r="321" spans="1:11" x14ac:dyDescent="0.15">
      <c r="A321" s="6">
        <v>319</v>
      </c>
      <c r="B321" t="s">
        <v>342</v>
      </c>
      <c r="C321" t="s">
        <v>23</v>
      </c>
      <c r="D321" s="7">
        <v>280.20999999999998</v>
      </c>
      <c r="E321" s="7">
        <v>280.20999999999998</v>
      </c>
      <c r="F321" s="7">
        <v>0.31</v>
      </c>
      <c r="G321">
        <f t="shared" si="28"/>
        <v>97.527380000000008</v>
      </c>
      <c r="H321" t="s">
        <v>697</v>
      </c>
      <c r="K321">
        <f t="shared" si="27"/>
        <v>280.20999999999998</v>
      </c>
    </row>
    <row r="322" spans="1:11" x14ac:dyDescent="0.15">
      <c r="A322" s="6">
        <v>320</v>
      </c>
      <c r="B322" t="s">
        <v>343</v>
      </c>
      <c r="C322" t="s">
        <v>23</v>
      </c>
      <c r="D322" s="7">
        <v>333.16</v>
      </c>
      <c r="E322" s="7">
        <v>333.16</v>
      </c>
      <c r="F322" s="7">
        <v>1.34</v>
      </c>
      <c r="G322">
        <f t="shared" si="28"/>
        <v>97.860540000000015</v>
      </c>
      <c r="H322" t="s">
        <v>697</v>
      </c>
      <c r="K322">
        <f t="shared" si="27"/>
        <v>333.16</v>
      </c>
    </row>
    <row r="323" spans="1:11" x14ac:dyDescent="0.15">
      <c r="A323" s="6">
        <v>321</v>
      </c>
      <c r="B323" t="s">
        <v>344</v>
      </c>
      <c r="C323" t="s">
        <v>23</v>
      </c>
      <c r="D323" s="7">
        <v>331.08</v>
      </c>
      <c r="E323" s="7">
        <v>331.08</v>
      </c>
      <c r="F323" s="7">
        <v>1.21</v>
      </c>
      <c r="G323">
        <f t="shared" si="28"/>
        <v>98.191620000000015</v>
      </c>
      <c r="H323" t="s">
        <v>697</v>
      </c>
      <c r="K323">
        <f t="shared" ref="K323:K386" si="29">IF(J323&lt;&gt;"",J323,D323)</f>
        <v>331.08</v>
      </c>
    </row>
    <row r="324" spans="1:11" x14ac:dyDescent="0.15">
      <c r="A324" s="6">
        <v>322</v>
      </c>
      <c r="B324" t="s">
        <v>345</v>
      </c>
      <c r="C324" t="s">
        <v>23</v>
      </c>
      <c r="D324" s="7">
        <v>375.7</v>
      </c>
      <c r="E324" s="7">
        <v>375.7</v>
      </c>
      <c r="F324" s="7">
        <v>0.9</v>
      </c>
      <c r="G324">
        <f t="shared" ref="G324:G387" si="30">E324/1000+G323</f>
        <v>98.567320000000009</v>
      </c>
      <c r="H324" t="s">
        <v>697</v>
      </c>
      <c r="K324">
        <f t="shared" si="29"/>
        <v>375.7</v>
      </c>
    </row>
    <row r="325" spans="1:11" x14ac:dyDescent="0.15">
      <c r="A325" s="6">
        <v>323</v>
      </c>
      <c r="B325" t="s">
        <v>346</v>
      </c>
      <c r="C325" t="s">
        <v>23</v>
      </c>
      <c r="D325" s="7">
        <v>322.99</v>
      </c>
      <c r="E325" s="7">
        <v>322.99</v>
      </c>
      <c r="F325" s="7">
        <v>0.44</v>
      </c>
      <c r="G325">
        <f t="shared" si="30"/>
        <v>98.890310000000014</v>
      </c>
      <c r="H325" t="s">
        <v>697</v>
      </c>
      <c r="K325">
        <f t="shared" si="29"/>
        <v>322.99</v>
      </c>
    </row>
    <row r="326" spans="1:11" x14ac:dyDescent="0.15">
      <c r="A326" s="6">
        <v>324</v>
      </c>
      <c r="B326" t="s">
        <v>347</v>
      </c>
      <c r="C326" t="s">
        <v>23</v>
      </c>
      <c r="D326" s="7">
        <v>290.14999999999998</v>
      </c>
      <c r="E326" s="7">
        <v>290.14999999999998</v>
      </c>
      <c r="F326" s="7">
        <v>0.4</v>
      </c>
      <c r="G326">
        <f t="shared" si="30"/>
        <v>99.180460000000011</v>
      </c>
      <c r="H326" t="s">
        <v>697</v>
      </c>
      <c r="K326">
        <f t="shared" si="29"/>
        <v>290.14999999999998</v>
      </c>
    </row>
    <row r="327" spans="1:11" x14ac:dyDescent="0.15">
      <c r="A327" s="6">
        <v>325</v>
      </c>
      <c r="B327" t="s">
        <v>348</v>
      </c>
      <c r="C327" t="s">
        <v>23</v>
      </c>
      <c r="D327" s="7">
        <v>339.24</v>
      </c>
      <c r="E327" s="7">
        <v>339.24</v>
      </c>
      <c r="F327" s="7">
        <v>0.51</v>
      </c>
      <c r="G327">
        <f t="shared" si="30"/>
        <v>99.519700000000014</v>
      </c>
      <c r="H327" t="s">
        <v>697</v>
      </c>
      <c r="K327">
        <f t="shared" si="29"/>
        <v>339.24</v>
      </c>
    </row>
    <row r="328" spans="1:11" x14ac:dyDescent="0.15">
      <c r="A328" s="6">
        <v>326</v>
      </c>
      <c r="B328" t="s">
        <v>349</v>
      </c>
      <c r="C328" t="s">
        <v>23</v>
      </c>
      <c r="D328" s="7">
        <v>312.8</v>
      </c>
      <c r="E328" s="7">
        <v>312.8</v>
      </c>
      <c r="F328" s="7">
        <v>0.05</v>
      </c>
      <c r="G328">
        <f t="shared" si="30"/>
        <v>99.83250000000001</v>
      </c>
      <c r="H328" t="s">
        <v>697</v>
      </c>
      <c r="K328">
        <f t="shared" si="29"/>
        <v>312.8</v>
      </c>
    </row>
    <row r="329" spans="1:11" x14ac:dyDescent="0.15">
      <c r="A329" s="6">
        <v>327</v>
      </c>
      <c r="B329" t="s">
        <v>350</v>
      </c>
      <c r="C329" t="s">
        <v>16</v>
      </c>
      <c r="D329" s="7">
        <v>261.04000000000002</v>
      </c>
      <c r="E329" s="7">
        <v>261.04000000000002</v>
      </c>
      <c r="F329" s="7">
        <v>11.76</v>
      </c>
      <c r="G329">
        <f t="shared" si="30"/>
        <v>100.09354</v>
      </c>
      <c r="H329" t="s">
        <v>697</v>
      </c>
      <c r="K329">
        <f t="shared" si="29"/>
        <v>261.04000000000002</v>
      </c>
    </row>
    <row r="330" spans="1:11" x14ac:dyDescent="0.15">
      <c r="A330" s="6">
        <v>328</v>
      </c>
      <c r="B330" t="s">
        <v>351</v>
      </c>
      <c r="C330" t="s">
        <v>23</v>
      </c>
      <c r="D330" s="7">
        <v>244.19</v>
      </c>
      <c r="E330" s="7">
        <v>244.19</v>
      </c>
      <c r="F330" s="7">
        <v>0.92</v>
      </c>
      <c r="G330">
        <f t="shared" si="30"/>
        <v>100.33773000000001</v>
      </c>
      <c r="H330" t="s">
        <v>697</v>
      </c>
      <c r="K330">
        <f t="shared" si="29"/>
        <v>244.19</v>
      </c>
    </row>
    <row r="331" spans="1:11" x14ac:dyDescent="0.15">
      <c r="A331" s="6">
        <v>329</v>
      </c>
      <c r="B331" t="s">
        <v>352</v>
      </c>
      <c r="C331" t="s">
        <v>23</v>
      </c>
      <c r="D331" s="7">
        <v>384.39</v>
      </c>
      <c r="E331" s="7">
        <v>384.39</v>
      </c>
      <c r="F331" s="7">
        <v>0.97</v>
      </c>
      <c r="G331">
        <f t="shared" si="30"/>
        <v>100.72212</v>
      </c>
      <c r="H331" t="s">
        <v>697</v>
      </c>
      <c r="K331">
        <f t="shared" si="29"/>
        <v>384.39</v>
      </c>
    </row>
    <row r="332" spans="1:11" x14ac:dyDescent="0.15">
      <c r="A332" s="6">
        <v>330</v>
      </c>
      <c r="B332" t="s">
        <v>353</v>
      </c>
      <c r="C332" t="s">
        <v>23</v>
      </c>
      <c r="D332" s="7">
        <v>317.54000000000002</v>
      </c>
      <c r="E332" s="7">
        <v>317.54000000000002</v>
      </c>
      <c r="F332" s="7">
        <v>0.85</v>
      </c>
      <c r="G332">
        <f t="shared" si="30"/>
        <v>101.03966</v>
      </c>
      <c r="H332" t="s">
        <v>697</v>
      </c>
      <c r="K332">
        <f t="shared" si="29"/>
        <v>317.54000000000002</v>
      </c>
    </row>
    <row r="333" spans="1:11" x14ac:dyDescent="0.15">
      <c r="A333" s="6">
        <v>331</v>
      </c>
      <c r="B333" t="s">
        <v>354</v>
      </c>
      <c r="C333" t="s">
        <v>23</v>
      </c>
      <c r="D333" s="7">
        <v>333.6</v>
      </c>
      <c r="E333" s="7">
        <v>333.6</v>
      </c>
      <c r="F333" s="7">
        <v>0.25</v>
      </c>
      <c r="G333">
        <f t="shared" si="30"/>
        <v>101.37326</v>
      </c>
      <c r="H333" t="s">
        <v>697</v>
      </c>
      <c r="K333">
        <f t="shared" si="29"/>
        <v>333.6</v>
      </c>
    </row>
    <row r="334" spans="1:11" x14ac:dyDescent="0.15">
      <c r="A334" s="6">
        <v>332</v>
      </c>
      <c r="B334" t="s">
        <v>355</v>
      </c>
      <c r="C334" t="s">
        <v>23</v>
      </c>
      <c r="D334" s="7">
        <v>286.3</v>
      </c>
      <c r="E334" s="7">
        <v>286.3</v>
      </c>
      <c r="F334" s="7">
        <v>0.45</v>
      </c>
      <c r="G334">
        <f t="shared" si="30"/>
        <v>101.65956</v>
      </c>
      <c r="H334" t="s">
        <v>697</v>
      </c>
      <c r="K334">
        <f t="shared" si="29"/>
        <v>286.3</v>
      </c>
    </row>
    <row r="335" spans="1:11" x14ac:dyDescent="0.15">
      <c r="A335" s="6">
        <v>333</v>
      </c>
      <c r="B335" t="s">
        <v>356</v>
      </c>
      <c r="C335" t="s">
        <v>23</v>
      </c>
      <c r="D335" s="7">
        <v>308.3</v>
      </c>
      <c r="E335" s="7">
        <v>308.3</v>
      </c>
      <c r="F335" s="7">
        <v>7.0000000000000007E-2</v>
      </c>
      <c r="G335">
        <f t="shared" si="30"/>
        <v>101.96786</v>
      </c>
      <c r="H335" t="s">
        <v>697</v>
      </c>
      <c r="K335">
        <f t="shared" si="29"/>
        <v>308.3</v>
      </c>
    </row>
    <row r="336" spans="1:11" x14ac:dyDescent="0.15">
      <c r="A336" s="6">
        <v>334</v>
      </c>
      <c r="B336" t="s">
        <v>357</v>
      </c>
      <c r="C336" t="s">
        <v>23</v>
      </c>
      <c r="D336" s="7">
        <v>333.63</v>
      </c>
      <c r="E336" s="7">
        <v>333.63</v>
      </c>
      <c r="F336" s="7">
        <v>0.33</v>
      </c>
      <c r="G336">
        <f t="shared" si="30"/>
        <v>102.30149</v>
      </c>
      <c r="H336" t="s">
        <v>697</v>
      </c>
      <c r="K336">
        <f t="shared" si="29"/>
        <v>333.63</v>
      </c>
    </row>
    <row r="337" spans="1:11" x14ac:dyDescent="0.15">
      <c r="A337" s="6">
        <v>335</v>
      </c>
      <c r="B337" t="s">
        <v>358</v>
      </c>
      <c r="C337" t="s">
        <v>28</v>
      </c>
      <c r="D337" s="7">
        <v>293.27</v>
      </c>
      <c r="E337" s="7">
        <v>301.77</v>
      </c>
      <c r="F337" s="7">
        <v>24.67</v>
      </c>
      <c r="G337">
        <f t="shared" si="30"/>
        <v>102.60326000000001</v>
      </c>
      <c r="H337" t="s">
        <v>697</v>
      </c>
      <c r="J337" s="7">
        <f>D337+8.5</f>
        <v>301.77</v>
      </c>
      <c r="K337">
        <f t="shared" si="29"/>
        <v>301.77</v>
      </c>
    </row>
    <row r="338" spans="1:11" x14ac:dyDescent="0.15">
      <c r="A338" s="6">
        <v>336</v>
      </c>
      <c r="B338" t="s">
        <v>359</v>
      </c>
      <c r="C338" t="s">
        <v>23</v>
      </c>
      <c r="D338" s="7">
        <v>329.21</v>
      </c>
      <c r="E338" s="7">
        <v>329.21</v>
      </c>
      <c r="F338" s="7">
        <v>0.28000000000000003</v>
      </c>
      <c r="G338">
        <f t="shared" si="30"/>
        <v>102.93247000000001</v>
      </c>
      <c r="H338" t="s">
        <v>697</v>
      </c>
      <c r="K338">
        <f t="shared" si="29"/>
        <v>329.21</v>
      </c>
    </row>
    <row r="339" spans="1:11" x14ac:dyDescent="0.15">
      <c r="A339" s="6">
        <v>337</v>
      </c>
      <c r="B339" t="s">
        <v>360</v>
      </c>
      <c r="C339" t="s">
        <v>23</v>
      </c>
      <c r="D339" s="7">
        <v>301.36</v>
      </c>
      <c r="E339" s="7">
        <v>301.36</v>
      </c>
      <c r="F339" s="7">
        <v>0.26</v>
      </c>
      <c r="G339">
        <f t="shared" si="30"/>
        <v>103.23383000000001</v>
      </c>
      <c r="H339" t="s">
        <v>697</v>
      </c>
      <c r="K339">
        <f t="shared" si="29"/>
        <v>301.36</v>
      </c>
    </row>
    <row r="340" spans="1:11" x14ac:dyDescent="0.15">
      <c r="A340" s="6">
        <v>338</v>
      </c>
      <c r="B340" t="s">
        <v>361</v>
      </c>
      <c r="C340" t="s">
        <v>28</v>
      </c>
      <c r="D340" s="7">
        <v>198.35</v>
      </c>
      <c r="E340" s="7">
        <v>206.85</v>
      </c>
      <c r="F340" s="7">
        <v>10.119999999999999</v>
      </c>
      <c r="G340">
        <f t="shared" si="30"/>
        <v>103.44068000000001</v>
      </c>
      <c r="H340" t="s">
        <v>697</v>
      </c>
      <c r="J340" s="7">
        <f>D340+8.5</f>
        <v>206.85</v>
      </c>
      <c r="K340">
        <f t="shared" si="29"/>
        <v>206.85</v>
      </c>
    </row>
    <row r="341" spans="1:11" x14ac:dyDescent="0.15">
      <c r="A341" s="6">
        <v>339</v>
      </c>
      <c r="B341" t="s">
        <v>362</v>
      </c>
      <c r="C341" t="s">
        <v>16</v>
      </c>
      <c r="D341" s="7">
        <v>326.60000000000002</v>
      </c>
      <c r="E341" s="7">
        <v>326.60000000000002</v>
      </c>
      <c r="F341" s="7">
        <v>1.07</v>
      </c>
      <c r="G341">
        <f t="shared" si="30"/>
        <v>103.76728000000001</v>
      </c>
      <c r="H341" t="s">
        <v>697</v>
      </c>
      <c r="K341">
        <f t="shared" si="29"/>
        <v>326.60000000000002</v>
      </c>
    </row>
    <row r="342" spans="1:11" x14ac:dyDescent="0.15">
      <c r="A342" s="6">
        <v>340</v>
      </c>
      <c r="B342" t="s">
        <v>363</v>
      </c>
      <c r="C342" t="s">
        <v>23</v>
      </c>
      <c r="D342" s="7">
        <v>327</v>
      </c>
      <c r="E342" s="7">
        <v>327</v>
      </c>
      <c r="F342" s="7">
        <v>0.19</v>
      </c>
      <c r="G342">
        <f t="shared" si="30"/>
        <v>104.09428000000001</v>
      </c>
      <c r="H342" t="s">
        <v>697</v>
      </c>
      <c r="K342">
        <f t="shared" si="29"/>
        <v>327</v>
      </c>
    </row>
    <row r="343" spans="1:11" x14ac:dyDescent="0.15">
      <c r="A343" s="6">
        <v>341</v>
      </c>
      <c r="B343" t="s">
        <v>364</v>
      </c>
      <c r="C343" t="s">
        <v>23</v>
      </c>
      <c r="D343" s="7">
        <v>326.39</v>
      </c>
      <c r="E343" s="7">
        <v>326.39</v>
      </c>
      <c r="F343" s="7">
        <v>0.2</v>
      </c>
      <c r="G343">
        <f t="shared" si="30"/>
        <v>104.42067000000002</v>
      </c>
      <c r="H343" t="s">
        <v>697</v>
      </c>
      <c r="K343">
        <f t="shared" si="29"/>
        <v>326.39</v>
      </c>
    </row>
    <row r="344" spans="1:11" x14ac:dyDescent="0.15">
      <c r="A344" s="6">
        <v>342</v>
      </c>
      <c r="B344" t="s">
        <v>365</v>
      </c>
      <c r="C344" t="s">
        <v>23</v>
      </c>
      <c r="D344" s="7">
        <v>363.47</v>
      </c>
      <c r="E344" s="7">
        <v>363.47</v>
      </c>
      <c r="F344" s="7">
        <v>0.03</v>
      </c>
      <c r="G344">
        <f t="shared" si="30"/>
        <v>104.78414000000002</v>
      </c>
      <c r="H344" t="s">
        <v>697</v>
      </c>
      <c r="K344">
        <f t="shared" si="29"/>
        <v>363.47</v>
      </c>
    </row>
    <row r="345" spans="1:11" x14ac:dyDescent="0.15">
      <c r="A345" s="6">
        <v>343</v>
      </c>
      <c r="B345" t="s">
        <v>366</v>
      </c>
      <c r="C345" t="s">
        <v>23</v>
      </c>
      <c r="D345" s="7">
        <v>342.56</v>
      </c>
      <c r="E345" s="7">
        <v>342.56</v>
      </c>
      <c r="F345" s="7">
        <v>0.15</v>
      </c>
      <c r="G345">
        <f t="shared" si="30"/>
        <v>105.12670000000003</v>
      </c>
      <c r="H345" t="s">
        <v>697</v>
      </c>
      <c r="K345">
        <f t="shared" si="29"/>
        <v>342.56</v>
      </c>
    </row>
    <row r="346" spans="1:11" x14ac:dyDescent="0.15">
      <c r="A346" s="6">
        <v>344</v>
      </c>
      <c r="B346" t="s">
        <v>367</v>
      </c>
      <c r="C346" t="s">
        <v>23</v>
      </c>
      <c r="D346" s="7">
        <v>331.53</v>
      </c>
      <c r="E346" s="7">
        <v>331.53</v>
      </c>
      <c r="F346" s="7">
        <v>0.23</v>
      </c>
      <c r="G346">
        <f t="shared" si="30"/>
        <v>105.45823000000003</v>
      </c>
      <c r="H346" t="s">
        <v>697</v>
      </c>
      <c r="K346">
        <f t="shared" si="29"/>
        <v>331.53</v>
      </c>
    </row>
    <row r="347" spans="1:11" x14ac:dyDescent="0.15">
      <c r="A347" s="6">
        <v>345</v>
      </c>
      <c r="B347" t="s">
        <v>368</v>
      </c>
      <c r="C347" t="s">
        <v>23</v>
      </c>
      <c r="D347" s="7">
        <v>357.43</v>
      </c>
      <c r="E347" s="7">
        <v>357.43</v>
      </c>
      <c r="F347" s="7">
        <v>0.33</v>
      </c>
      <c r="G347">
        <f t="shared" si="30"/>
        <v>105.81566000000002</v>
      </c>
      <c r="H347" t="s">
        <v>697</v>
      </c>
      <c r="K347">
        <f t="shared" si="29"/>
        <v>357.43</v>
      </c>
    </row>
    <row r="348" spans="1:11" x14ac:dyDescent="0.15">
      <c r="A348" s="6">
        <v>346</v>
      </c>
      <c r="B348" t="s">
        <v>369</v>
      </c>
      <c r="C348" t="s">
        <v>23</v>
      </c>
      <c r="D348" s="7">
        <v>339.29</v>
      </c>
      <c r="E348" s="7">
        <v>339.29</v>
      </c>
      <c r="F348" s="7">
        <v>0.13</v>
      </c>
      <c r="G348">
        <f t="shared" si="30"/>
        <v>106.15495000000003</v>
      </c>
      <c r="H348" t="s">
        <v>697</v>
      </c>
      <c r="K348">
        <f t="shared" si="29"/>
        <v>339.29</v>
      </c>
    </row>
    <row r="349" spans="1:11" x14ac:dyDescent="0.15">
      <c r="A349" s="6">
        <v>347</v>
      </c>
      <c r="B349" t="s">
        <v>370</v>
      </c>
      <c r="C349" t="s">
        <v>23</v>
      </c>
      <c r="D349" s="7">
        <v>348.13</v>
      </c>
      <c r="E349" s="7">
        <v>348.13</v>
      </c>
      <c r="F349" s="7">
        <v>0.01</v>
      </c>
      <c r="G349">
        <f t="shared" si="30"/>
        <v>106.50308000000003</v>
      </c>
      <c r="H349" t="s">
        <v>697</v>
      </c>
      <c r="K349">
        <f t="shared" si="29"/>
        <v>348.13</v>
      </c>
    </row>
    <row r="350" spans="1:11" x14ac:dyDescent="0.15">
      <c r="A350" s="6">
        <v>348</v>
      </c>
      <c r="B350" t="s">
        <v>702</v>
      </c>
      <c r="C350" t="s">
        <v>16</v>
      </c>
      <c r="D350" s="7">
        <v>116.23</v>
      </c>
      <c r="E350" s="7">
        <v>116.23</v>
      </c>
      <c r="F350" s="7">
        <v>7.0000000000000007E-2</v>
      </c>
      <c r="G350">
        <f t="shared" si="30"/>
        <v>106.61931000000003</v>
      </c>
      <c r="H350" t="s">
        <v>697</v>
      </c>
      <c r="K350">
        <f t="shared" si="29"/>
        <v>116.23</v>
      </c>
    </row>
    <row r="351" spans="1:11" x14ac:dyDescent="0.15">
      <c r="A351" s="6">
        <v>349</v>
      </c>
      <c r="B351" t="s">
        <v>703</v>
      </c>
      <c r="C351" t="s">
        <v>16</v>
      </c>
      <c r="D351" s="7">
        <v>213.02</v>
      </c>
      <c r="E351" s="7">
        <v>213.02</v>
      </c>
      <c r="F351" s="7">
        <v>0.18</v>
      </c>
      <c r="G351">
        <f t="shared" si="30"/>
        <v>106.83233000000003</v>
      </c>
      <c r="H351" t="s">
        <v>697</v>
      </c>
      <c r="K351">
        <f t="shared" si="29"/>
        <v>213.02</v>
      </c>
    </row>
    <row r="352" spans="1:11" x14ac:dyDescent="0.15">
      <c r="A352" s="6">
        <v>350</v>
      </c>
      <c r="B352" t="s">
        <v>372</v>
      </c>
      <c r="C352" t="s">
        <v>16</v>
      </c>
      <c r="D352" s="7">
        <v>308.39</v>
      </c>
      <c r="E352" s="7">
        <v>308.39</v>
      </c>
      <c r="F352" s="7">
        <v>7.81</v>
      </c>
      <c r="G352">
        <f t="shared" si="30"/>
        <v>107.14072000000003</v>
      </c>
      <c r="H352" t="s">
        <v>697</v>
      </c>
      <c r="K352">
        <f t="shared" si="29"/>
        <v>308.39</v>
      </c>
    </row>
    <row r="353" spans="1:11" x14ac:dyDescent="0.15">
      <c r="A353" s="6">
        <v>351</v>
      </c>
      <c r="B353" t="s">
        <v>373</v>
      </c>
      <c r="C353" t="s">
        <v>23</v>
      </c>
      <c r="D353" s="7">
        <v>348.02</v>
      </c>
      <c r="E353" s="7">
        <v>348.02</v>
      </c>
      <c r="F353" s="7">
        <v>0.64</v>
      </c>
      <c r="G353">
        <f t="shared" si="30"/>
        <v>107.48874000000004</v>
      </c>
      <c r="H353" t="s">
        <v>697</v>
      </c>
      <c r="K353">
        <f t="shared" si="29"/>
        <v>348.02</v>
      </c>
    </row>
    <row r="354" spans="1:11" x14ac:dyDescent="0.15">
      <c r="A354" s="6">
        <v>352</v>
      </c>
      <c r="B354" t="s">
        <v>374</v>
      </c>
      <c r="C354" t="s">
        <v>23</v>
      </c>
      <c r="D354" s="7">
        <v>334.98</v>
      </c>
      <c r="E354" s="7">
        <v>334.98</v>
      </c>
      <c r="F354" s="7">
        <v>1.1499999999999999</v>
      </c>
      <c r="G354">
        <f t="shared" si="30"/>
        <v>107.82372000000004</v>
      </c>
      <c r="H354" t="s">
        <v>697</v>
      </c>
      <c r="K354">
        <f t="shared" si="29"/>
        <v>334.98</v>
      </c>
    </row>
    <row r="355" spans="1:11" x14ac:dyDescent="0.15">
      <c r="A355" s="6">
        <v>353</v>
      </c>
      <c r="B355" t="s">
        <v>375</v>
      </c>
      <c r="C355" t="s">
        <v>23</v>
      </c>
      <c r="D355" s="7">
        <v>312.43</v>
      </c>
      <c r="E355" s="7">
        <v>312.43</v>
      </c>
      <c r="F355" s="7">
        <v>0.35</v>
      </c>
      <c r="G355">
        <f t="shared" si="30"/>
        <v>108.13615000000004</v>
      </c>
      <c r="H355" t="s">
        <v>697</v>
      </c>
      <c r="K355">
        <f t="shared" si="29"/>
        <v>312.43</v>
      </c>
    </row>
    <row r="356" spans="1:11" x14ac:dyDescent="0.15">
      <c r="A356" s="6">
        <v>354</v>
      </c>
      <c r="B356" t="s">
        <v>376</v>
      </c>
      <c r="C356" t="s">
        <v>23</v>
      </c>
      <c r="D356" s="7">
        <v>337.55</v>
      </c>
      <c r="E356" s="7">
        <v>337.55</v>
      </c>
      <c r="F356" s="7">
        <v>0.3</v>
      </c>
      <c r="G356">
        <f t="shared" si="30"/>
        <v>108.47370000000004</v>
      </c>
      <c r="H356" t="s">
        <v>697</v>
      </c>
      <c r="K356">
        <f t="shared" si="29"/>
        <v>337.55</v>
      </c>
    </row>
    <row r="357" spans="1:11" x14ac:dyDescent="0.15">
      <c r="A357" s="6">
        <v>355</v>
      </c>
      <c r="B357" t="s">
        <v>377</v>
      </c>
      <c r="C357" t="s">
        <v>19</v>
      </c>
      <c r="D357" s="7">
        <v>292.08999999999997</v>
      </c>
      <c r="E357" s="7">
        <v>300.58999999999997</v>
      </c>
      <c r="F357" s="7">
        <v>30.3</v>
      </c>
      <c r="G357">
        <f t="shared" si="30"/>
        <v>108.77429000000004</v>
      </c>
      <c r="H357" t="s">
        <v>697</v>
      </c>
      <c r="J357" s="7">
        <f>D357+8.5</f>
        <v>300.58999999999997</v>
      </c>
      <c r="K357">
        <f t="shared" si="29"/>
        <v>300.58999999999997</v>
      </c>
    </row>
    <row r="358" spans="1:11" x14ac:dyDescent="0.15">
      <c r="A358" s="6">
        <v>356</v>
      </c>
      <c r="B358" t="s">
        <v>378</v>
      </c>
      <c r="C358" t="s">
        <v>23</v>
      </c>
      <c r="D358" s="7">
        <v>305</v>
      </c>
      <c r="E358" s="7">
        <v>305</v>
      </c>
      <c r="F358" s="7">
        <v>0.84</v>
      </c>
      <c r="G358">
        <f t="shared" si="30"/>
        <v>109.07929000000004</v>
      </c>
      <c r="H358" t="s">
        <v>697</v>
      </c>
      <c r="K358">
        <f t="shared" si="29"/>
        <v>305</v>
      </c>
    </row>
    <row r="359" spans="1:11" x14ac:dyDescent="0.15">
      <c r="A359" s="6">
        <v>357</v>
      </c>
      <c r="B359" t="s">
        <v>379</v>
      </c>
      <c r="C359" t="s">
        <v>23</v>
      </c>
      <c r="D359" s="7">
        <v>295.08999999999997</v>
      </c>
      <c r="E359" s="7">
        <v>295.08999999999997</v>
      </c>
      <c r="F359" s="7">
        <v>1.02</v>
      </c>
      <c r="G359">
        <f t="shared" si="30"/>
        <v>109.37438000000004</v>
      </c>
      <c r="H359" t="s">
        <v>697</v>
      </c>
      <c r="K359">
        <f t="shared" si="29"/>
        <v>295.08999999999997</v>
      </c>
    </row>
    <row r="360" spans="1:11" x14ac:dyDescent="0.15">
      <c r="A360" s="6">
        <v>358</v>
      </c>
      <c r="B360" t="s">
        <v>380</v>
      </c>
      <c r="C360" t="s">
        <v>23</v>
      </c>
      <c r="D360" s="7">
        <v>274.74</v>
      </c>
      <c r="E360" s="7">
        <v>274.74</v>
      </c>
      <c r="F360" s="7">
        <v>0.5</v>
      </c>
      <c r="G360">
        <f t="shared" si="30"/>
        <v>109.64912000000004</v>
      </c>
      <c r="H360" t="s">
        <v>697</v>
      </c>
      <c r="K360">
        <f t="shared" si="29"/>
        <v>274.74</v>
      </c>
    </row>
    <row r="361" spans="1:11" x14ac:dyDescent="0.15">
      <c r="A361" s="6">
        <v>359</v>
      </c>
      <c r="B361" t="s">
        <v>383</v>
      </c>
      <c r="C361" t="s">
        <v>23</v>
      </c>
      <c r="D361" s="7">
        <v>305.73</v>
      </c>
      <c r="E361" s="7">
        <v>305.73</v>
      </c>
      <c r="F361" s="7">
        <v>0.1</v>
      </c>
      <c r="G361">
        <f t="shared" si="30"/>
        <v>109.95485000000004</v>
      </c>
      <c r="H361" t="s">
        <v>697</v>
      </c>
      <c r="K361">
        <f t="shared" si="29"/>
        <v>305.73</v>
      </c>
    </row>
    <row r="362" spans="1:11" x14ac:dyDescent="0.15">
      <c r="A362" s="6">
        <v>360</v>
      </c>
      <c r="B362" t="s">
        <v>384</v>
      </c>
      <c r="C362" t="s">
        <v>23</v>
      </c>
      <c r="D362" s="7">
        <v>295.25</v>
      </c>
      <c r="E362" s="7">
        <v>295.25</v>
      </c>
      <c r="F362" s="7">
        <v>0.69</v>
      </c>
      <c r="G362">
        <f t="shared" si="30"/>
        <v>110.25010000000003</v>
      </c>
      <c r="H362" t="s">
        <v>697</v>
      </c>
      <c r="K362">
        <f t="shared" si="29"/>
        <v>295.25</v>
      </c>
    </row>
    <row r="363" spans="1:11" x14ac:dyDescent="0.15">
      <c r="A363" s="6">
        <v>361</v>
      </c>
      <c r="B363" t="s">
        <v>385</v>
      </c>
      <c r="C363" t="s">
        <v>23</v>
      </c>
      <c r="D363" s="7">
        <v>254.82</v>
      </c>
      <c r="E363" s="7">
        <v>254.82</v>
      </c>
      <c r="F363" s="7">
        <v>0.55000000000000004</v>
      </c>
      <c r="G363">
        <f t="shared" si="30"/>
        <v>110.50492000000003</v>
      </c>
      <c r="H363" t="s">
        <v>697</v>
      </c>
      <c r="K363">
        <f t="shared" si="29"/>
        <v>254.82</v>
      </c>
    </row>
    <row r="364" spans="1:11" x14ac:dyDescent="0.15">
      <c r="A364" s="6">
        <v>362</v>
      </c>
      <c r="B364" t="s">
        <v>386</v>
      </c>
      <c r="C364" t="s">
        <v>28</v>
      </c>
      <c r="D364" s="7">
        <v>324.94</v>
      </c>
      <c r="E364" s="7">
        <v>333.44</v>
      </c>
      <c r="F364" s="7">
        <v>8.9</v>
      </c>
      <c r="G364">
        <f t="shared" si="30"/>
        <v>110.83836000000002</v>
      </c>
      <c r="H364" t="s">
        <v>697</v>
      </c>
      <c r="J364" s="7">
        <f>D364+8.5</f>
        <v>333.44</v>
      </c>
      <c r="K364">
        <f t="shared" si="29"/>
        <v>333.44</v>
      </c>
    </row>
    <row r="365" spans="1:11" x14ac:dyDescent="0.15">
      <c r="A365" s="6">
        <v>363</v>
      </c>
      <c r="B365" t="s">
        <v>387</v>
      </c>
      <c r="C365" t="s">
        <v>23</v>
      </c>
      <c r="D365" s="7">
        <v>332.74</v>
      </c>
      <c r="E365" s="7">
        <v>332.74</v>
      </c>
      <c r="F365" s="7">
        <v>0.44</v>
      </c>
      <c r="G365">
        <f t="shared" si="30"/>
        <v>111.17110000000002</v>
      </c>
      <c r="H365" t="s">
        <v>697</v>
      </c>
      <c r="K365">
        <f t="shared" si="29"/>
        <v>332.74</v>
      </c>
    </row>
    <row r="366" spans="1:11" x14ac:dyDescent="0.15">
      <c r="A366" s="6">
        <v>364</v>
      </c>
      <c r="B366" t="s">
        <v>388</v>
      </c>
      <c r="C366" t="s">
        <v>23</v>
      </c>
      <c r="D366" s="7">
        <v>345.62</v>
      </c>
      <c r="E366" s="7">
        <v>345.62</v>
      </c>
      <c r="F366" s="7">
        <v>0.93</v>
      </c>
      <c r="G366">
        <f t="shared" si="30"/>
        <v>111.51672000000002</v>
      </c>
      <c r="H366" t="s">
        <v>697</v>
      </c>
      <c r="K366">
        <f t="shared" si="29"/>
        <v>345.62</v>
      </c>
    </row>
    <row r="367" spans="1:11" x14ac:dyDescent="0.15">
      <c r="A367" s="6">
        <v>365</v>
      </c>
      <c r="B367" t="s">
        <v>389</v>
      </c>
      <c r="C367" t="s">
        <v>23</v>
      </c>
      <c r="D367" s="7">
        <v>317.43</v>
      </c>
      <c r="E367" s="7">
        <v>317.43</v>
      </c>
      <c r="F367" s="7">
        <v>0.73</v>
      </c>
      <c r="G367">
        <f t="shared" si="30"/>
        <v>111.83415000000002</v>
      </c>
      <c r="H367" t="s">
        <v>697</v>
      </c>
      <c r="K367">
        <f t="shared" si="29"/>
        <v>317.43</v>
      </c>
    </row>
    <row r="368" spans="1:11" x14ac:dyDescent="0.15">
      <c r="A368" s="6">
        <v>366</v>
      </c>
      <c r="B368" t="s">
        <v>390</v>
      </c>
      <c r="C368" t="s">
        <v>23</v>
      </c>
      <c r="D368" s="7">
        <v>356.3</v>
      </c>
      <c r="E368" s="7">
        <v>356.3</v>
      </c>
      <c r="F368" s="7">
        <v>0.06</v>
      </c>
      <c r="G368">
        <f t="shared" si="30"/>
        <v>112.19045000000003</v>
      </c>
      <c r="H368" t="s">
        <v>697</v>
      </c>
      <c r="K368">
        <f t="shared" si="29"/>
        <v>356.3</v>
      </c>
    </row>
    <row r="369" spans="1:11" x14ac:dyDescent="0.15">
      <c r="A369" s="6">
        <v>367</v>
      </c>
      <c r="B369" t="s">
        <v>391</v>
      </c>
      <c r="C369" t="s">
        <v>19</v>
      </c>
      <c r="D369" s="7">
        <v>277.08</v>
      </c>
      <c r="E369" s="7">
        <v>285.58</v>
      </c>
      <c r="F369" s="7">
        <v>30.6</v>
      </c>
      <c r="G369">
        <f t="shared" si="30"/>
        <v>112.47603000000002</v>
      </c>
      <c r="H369" t="s">
        <v>697</v>
      </c>
      <c r="J369" s="7">
        <f>D369+8.5</f>
        <v>285.58</v>
      </c>
      <c r="K369">
        <f t="shared" si="29"/>
        <v>285.58</v>
      </c>
    </row>
    <row r="370" spans="1:11" x14ac:dyDescent="0.15">
      <c r="A370" s="6">
        <v>368</v>
      </c>
      <c r="B370" t="s">
        <v>392</v>
      </c>
      <c r="C370" t="s">
        <v>23</v>
      </c>
      <c r="D370" s="7">
        <v>302.56</v>
      </c>
      <c r="E370" s="7">
        <v>302.56</v>
      </c>
      <c r="F370" s="7">
        <v>0.12</v>
      </c>
      <c r="G370">
        <f t="shared" si="30"/>
        <v>112.77859000000002</v>
      </c>
      <c r="H370" t="s">
        <v>697</v>
      </c>
      <c r="K370">
        <f t="shared" si="29"/>
        <v>302.56</v>
      </c>
    </row>
    <row r="371" spans="1:11" x14ac:dyDescent="0.15">
      <c r="A371" s="6">
        <v>369</v>
      </c>
      <c r="B371" t="s">
        <v>393</v>
      </c>
      <c r="C371" t="s">
        <v>23</v>
      </c>
      <c r="D371" s="7">
        <v>251.08</v>
      </c>
      <c r="E371" s="7">
        <v>251.08</v>
      </c>
      <c r="F371" s="7">
        <v>0.22</v>
      </c>
      <c r="G371">
        <f t="shared" si="30"/>
        <v>113.02967000000002</v>
      </c>
      <c r="H371" t="s">
        <v>697</v>
      </c>
      <c r="K371">
        <f t="shared" si="29"/>
        <v>251.08</v>
      </c>
    </row>
    <row r="372" spans="1:11" x14ac:dyDescent="0.15">
      <c r="A372" s="6">
        <v>370</v>
      </c>
      <c r="B372" t="s">
        <v>394</v>
      </c>
      <c r="C372" t="s">
        <v>23</v>
      </c>
      <c r="D372" s="7">
        <v>222.01</v>
      </c>
      <c r="E372" s="7">
        <v>222.01</v>
      </c>
      <c r="F372" s="7">
        <v>0.13</v>
      </c>
      <c r="G372">
        <f t="shared" si="30"/>
        <v>113.25168000000002</v>
      </c>
      <c r="H372" t="s">
        <v>697</v>
      </c>
      <c r="K372">
        <f t="shared" si="29"/>
        <v>222.01</v>
      </c>
    </row>
    <row r="373" spans="1:11" x14ac:dyDescent="0.15">
      <c r="A373" s="6">
        <v>371</v>
      </c>
      <c r="B373" t="s">
        <v>395</v>
      </c>
      <c r="C373" t="s">
        <v>23</v>
      </c>
      <c r="D373" s="7">
        <v>272.87</v>
      </c>
      <c r="E373" s="7">
        <v>272.87</v>
      </c>
      <c r="F373" s="7">
        <v>0.37</v>
      </c>
      <c r="G373">
        <f t="shared" si="30"/>
        <v>113.52455000000002</v>
      </c>
      <c r="H373" t="s">
        <v>697</v>
      </c>
      <c r="K373">
        <f t="shared" si="29"/>
        <v>272.87</v>
      </c>
    </row>
    <row r="374" spans="1:11" x14ac:dyDescent="0.15">
      <c r="A374" s="6">
        <v>372</v>
      </c>
      <c r="B374" t="s">
        <v>396</v>
      </c>
      <c r="C374" t="s">
        <v>23</v>
      </c>
      <c r="D374" s="7">
        <v>350.43</v>
      </c>
      <c r="E374" s="7">
        <v>350.43</v>
      </c>
      <c r="F374" s="7">
        <v>0.86</v>
      </c>
      <c r="G374">
        <f t="shared" si="30"/>
        <v>113.87498000000002</v>
      </c>
      <c r="H374" t="s">
        <v>697</v>
      </c>
      <c r="K374">
        <f t="shared" si="29"/>
        <v>350.43</v>
      </c>
    </row>
    <row r="375" spans="1:11" x14ac:dyDescent="0.15">
      <c r="A375" s="6">
        <v>373</v>
      </c>
      <c r="B375" t="s">
        <v>397</v>
      </c>
      <c r="C375" t="s">
        <v>23</v>
      </c>
      <c r="D375" s="7">
        <v>276.83</v>
      </c>
      <c r="E375" s="7">
        <v>276.83</v>
      </c>
      <c r="F375" s="7">
        <v>0.52</v>
      </c>
      <c r="G375">
        <f t="shared" si="30"/>
        <v>114.15181000000003</v>
      </c>
      <c r="H375" t="s">
        <v>697</v>
      </c>
      <c r="K375">
        <f t="shared" si="29"/>
        <v>276.83</v>
      </c>
    </row>
    <row r="376" spans="1:11" x14ac:dyDescent="0.15">
      <c r="A376" s="6">
        <v>374</v>
      </c>
      <c r="B376" t="s">
        <v>398</v>
      </c>
      <c r="C376" t="s">
        <v>23</v>
      </c>
      <c r="D376" s="7">
        <v>345.89</v>
      </c>
      <c r="E376" s="7">
        <v>345.89</v>
      </c>
      <c r="F376" s="7">
        <v>0.53</v>
      </c>
      <c r="G376">
        <f t="shared" si="30"/>
        <v>114.49770000000002</v>
      </c>
      <c r="H376" t="s">
        <v>697</v>
      </c>
      <c r="K376">
        <f t="shared" si="29"/>
        <v>345.89</v>
      </c>
    </row>
    <row r="377" spans="1:11" x14ac:dyDescent="0.15">
      <c r="A377" s="6">
        <v>375</v>
      </c>
      <c r="B377" t="s">
        <v>399</v>
      </c>
      <c r="C377" t="s">
        <v>16</v>
      </c>
      <c r="D377" s="7">
        <v>233.98</v>
      </c>
      <c r="E377" s="7">
        <v>233.98</v>
      </c>
      <c r="F377" s="7">
        <v>4.59</v>
      </c>
      <c r="G377">
        <f t="shared" si="30"/>
        <v>114.73168000000003</v>
      </c>
      <c r="H377" t="s">
        <v>697</v>
      </c>
      <c r="K377">
        <f t="shared" si="29"/>
        <v>233.98</v>
      </c>
    </row>
    <row r="378" spans="1:11" x14ac:dyDescent="0.15">
      <c r="A378" s="6">
        <v>376</v>
      </c>
      <c r="B378" t="s">
        <v>400</v>
      </c>
      <c r="C378" t="s">
        <v>16</v>
      </c>
      <c r="D378" s="7">
        <v>356.18</v>
      </c>
      <c r="E378" s="7">
        <v>356.18</v>
      </c>
      <c r="F378" s="7">
        <v>0.21</v>
      </c>
      <c r="G378">
        <f t="shared" si="30"/>
        <v>115.08786000000002</v>
      </c>
      <c r="H378" t="s">
        <v>697</v>
      </c>
      <c r="K378">
        <f t="shared" si="29"/>
        <v>356.18</v>
      </c>
    </row>
    <row r="379" spans="1:11" x14ac:dyDescent="0.15">
      <c r="A379" s="6">
        <v>377</v>
      </c>
      <c r="B379" t="s">
        <v>401</v>
      </c>
      <c r="C379" t="s">
        <v>28</v>
      </c>
      <c r="D379" s="7">
        <v>295.89999999999998</v>
      </c>
      <c r="E379" s="7">
        <v>304.39999999999998</v>
      </c>
      <c r="F379" s="7">
        <v>26.15</v>
      </c>
      <c r="G379">
        <f t="shared" si="30"/>
        <v>115.39226000000002</v>
      </c>
      <c r="H379" t="s">
        <v>697</v>
      </c>
      <c r="J379" s="7">
        <f>D379+8.5</f>
        <v>304.39999999999998</v>
      </c>
      <c r="K379">
        <f t="shared" si="29"/>
        <v>304.39999999999998</v>
      </c>
    </row>
    <row r="380" spans="1:11" x14ac:dyDescent="0.15">
      <c r="A380" s="6">
        <v>378</v>
      </c>
      <c r="B380" t="s">
        <v>402</v>
      </c>
      <c r="C380" t="s">
        <v>16</v>
      </c>
      <c r="D380" s="7">
        <v>327.24</v>
      </c>
      <c r="E380" s="7">
        <v>327.24</v>
      </c>
      <c r="F380" s="7">
        <v>0.48</v>
      </c>
      <c r="G380">
        <f t="shared" si="30"/>
        <v>115.71950000000002</v>
      </c>
      <c r="H380" t="s">
        <v>697</v>
      </c>
      <c r="K380">
        <f t="shared" si="29"/>
        <v>327.24</v>
      </c>
    </row>
    <row r="381" spans="1:11" x14ac:dyDescent="0.15">
      <c r="A381" s="6">
        <v>379</v>
      </c>
      <c r="B381" t="s">
        <v>403</v>
      </c>
      <c r="C381" t="s">
        <v>16</v>
      </c>
      <c r="D381" s="7">
        <v>287.32</v>
      </c>
      <c r="E381" s="7">
        <v>287.32</v>
      </c>
      <c r="F381" s="7">
        <v>11.56</v>
      </c>
      <c r="G381">
        <f t="shared" si="30"/>
        <v>116.00682000000002</v>
      </c>
      <c r="H381" t="s">
        <v>697</v>
      </c>
      <c r="K381">
        <f t="shared" si="29"/>
        <v>287.32</v>
      </c>
    </row>
    <row r="382" spans="1:11" x14ac:dyDescent="0.15">
      <c r="A382" s="6">
        <v>380</v>
      </c>
      <c r="B382" t="s">
        <v>404</v>
      </c>
      <c r="C382" t="s">
        <v>19</v>
      </c>
      <c r="D382" s="7">
        <v>204.83</v>
      </c>
      <c r="E382" s="7">
        <v>213.33</v>
      </c>
      <c r="F382" s="7">
        <v>44.81</v>
      </c>
      <c r="G382">
        <f t="shared" si="30"/>
        <v>116.22015000000002</v>
      </c>
      <c r="H382" t="s">
        <v>697</v>
      </c>
      <c r="J382" s="7">
        <f>D382+8.5</f>
        <v>213.33</v>
      </c>
      <c r="K382">
        <f t="shared" si="29"/>
        <v>213.33</v>
      </c>
    </row>
    <row r="383" spans="1:11" x14ac:dyDescent="0.15">
      <c r="A383" s="6">
        <v>381</v>
      </c>
      <c r="B383" t="s">
        <v>405</v>
      </c>
      <c r="C383" t="s">
        <v>23</v>
      </c>
      <c r="D383" s="7">
        <v>220.3</v>
      </c>
      <c r="E383" s="7">
        <v>220.3</v>
      </c>
      <c r="F383" s="7">
        <v>0.89</v>
      </c>
      <c r="G383">
        <f t="shared" si="30"/>
        <v>116.44045000000001</v>
      </c>
      <c r="H383" t="s">
        <v>697</v>
      </c>
      <c r="K383">
        <f t="shared" si="29"/>
        <v>220.3</v>
      </c>
    </row>
    <row r="384" spans="1:11" x14ac:dyDescent="0.15">
      <c r="A384" s="6">
        <v>382</v>
      </c>
      <c r="B384" t="s">
        <v>406</v>
      </c>
      <c r="C384" t="s">
        <v>28</v>
      </c>
      <c r="D384" s="7">
        <v>206.42</v>
      </c>
      <c r="E384" s="7">
        <v>214.92</v>
      </c>
      <c r="F384" s="7">
        <v>12.57</v>
      </c>
      <c r="G384">
        <f t="shared" si="30"/>
        <v>116.65537000000002</v>
      </c>
      <c r="H384" t="s">
        <v>697</v>
      </c>
      <c r="J384" s="7">
        <f>D384+8.5</f>
        <v>214.92</v>
      </c>
      <c r="K384">
        <f t="shared" si="29"/>
        <v>214.92</v>
      </c>
    </row>
    <row r="385" spans="1:11" x14ac:dyDescent="0.15">
      <c r="A385" s="6">
        <v>383</v>
      </c>
      <c r="B385" t="s">
        <v>407</v>
      </c>
      <c r="C385" t="s">
        <v>23</v>
      </c>
      <c r="D385" s="7">
        <v>362.73</v>
      </c>
      <c r="E385" s="7">
        <v>362.73</v>
      </c>
      <c r="F385" s="7">
        <v>1.1399999999999999</v>
      </c>
      <c r="G385">
        <f t="shared" si="30"/>
        <v>117.01810000000002</v>
      </c>
      <c r="H385" t="s">
        <v>697</v>
      </c>
      <c r="K385">
        <f t="shared" si="29"/>
        <v>362.73</v>
      </c>
    </row>
    <row r="386" spans="1:11" x14ac:dyDescent="0.15">
      <c r="A386" s="6">
        <v>384</v>
      </c>
      <c r="B386" t="s">
        <v>408</v>
      </c>
      <c r="C386" t="s">
        <v>23</v>
      </c>
      <c r="D386" s="7">
        <v>375.43</v>
      </c>
      <c r="E386" s="7">
        <v>375.43</v>
      </c>
      <c r="F386" s="7">
        <v>0.75</v>
      </c>
      <c r="G386">
        <f t="shared" si="30"/>
        <v>117.39353000000001</v>
      </c>
      <c r="H386" t="s">
        <v>697</v>
      </c>
      <c r="K386">
        <f t="shared" si="29"/>
        <v>375.43</v>
      </c>
    </row>
    <row r="387" spans="1:11" x14ac:dyDescent="0.15">
      <c r="A387" s="6">
        <v>385</v>
      </c>
      <c r="B387" t="s">
        <v>409</v>
      </c>
      <c r="C387" t="s">
        <v>23</v>
      </c>
      <c r="D387" s="7">
        <v>309.26</v>
      </c>
      <c r="E387" s="7">
        <v>309.26</v>
      </c>
      <c r="F387" s="7">
        <v>0.64</v>
      </c>
      <c r="G387">
        <f t="shared" si="30"/>
        <v>117.70279000000001</v>
      </c>
      <c r="H387" t="s">
        <v>697</v>
      </c>
      <c r="K387">
        <f t="shared" ref="K387:K450" si="31">IF(J387&lt;&gt;"",J387,D387)</f>
        <v>309.26</v>
      </c>
    </row>
    <row r="388" spans="1:11" x14ac:dyDescent="0.15">
      <c r="A388" s="6">
        <v>386</v>
      </c>
      <c r="B388" t="s">
        <v>410</v>
      </c>
      <c r="C388" t="s">
        <v>23</v>
      </c>
      <c r="D388" s="7">
        <v>320.91000000000003</v>
      </c>
      <c r="E388" s="7">
        <v>320.91000000000003</v>
      </c>
      <c r="F388" s="7">
        <v>0.38</v>
      </c>
      <c r="G388">
        <f t="shared" ref="G388:G451" si="32">E388/1000+G387</f>
        <v>118.02370000000001</v>
      </c>
      <c r="H388" t="s">
        <v>697</v>
      </c>
      <c r="K388">
        <f t="shared" si="31"/>
        <v>320.91000000000003</v>
      </c>
    </row>
    <row r="389" spans="1:11" x14ac:dyDescent="0.15">
      <c r="A389" s="6">
        <v>387</v>
      </c>
      <c r="B389" t="s">
        <v>411</v>
      </c>
      <c r="C389" t="s">
        <v>23</v>
      </c>
      <c r="D389" s="7">
        <v>367.28</v>
      </c>
      <c r="E389" s="7">
        <v>367.28</v>
      </c>
      <c r="F389" s="7">
        <v>0.36</v>
      </c>
      <c r="G389">
        <f t="shared" si="32"/>
        <v>118.39098</v>
      </c>
      <c r="H389" t="s">
        <v>697</v>
      </c>
      <c r="K389">
        <f t="shared" si="31"/>
        <v>367.28</v>
      </c>
    </row>
    <row r="390" spans="1:11" x14ac:dyDescent="0.15">
      <c r="A390" s="6">
        <v>388</v>
      </c>
      <c r="B390" t="s">
        <v>412</v>
      </c>
      <c r="C390" t="s">
        <v>23</v>
      </c>
      <c r="D390" s="7">
        <v>307.29000000000002</v>
      </c>
      <c r="E390" s="7">
        <v>307.29000000000002</v>
      </c>
      <c r="F390" s="7">
        <v>0.41</v>
      </c>
      <c r="G390">
        <f t="shared" si="32"/>
        <v>118.69826999999999</v>
      </c>
      <c r="H390" t="s">
        <v>697</v>
      </c>
      <c r="K390">
        <f t="shared" si="31"/>
        <v>307.29000000000002</v>
      </c>
    </row>
    <row r="391" spans="1:11" x14ac:dyDescent="0.15">
      <c r="A391" s="6">
        <v>389</v>
      </c>
      <c r="B391" t="s">
        <v>413</v>
      </c>
      <c r="C391" t="s">
        <v>23</v>
      </c>
      <c r="D391" s="7">
        <v>382.19</v>
      </c>
      <c r="E391" s="7">
        <v>382.19</v>
      </c>
      <c r="F391" s="7">
        <v>0.1</v>
      </c>
      <c r="G391">
        <f t="shared" si="32"/>
        <v>119.08045999999999</v>
      </c>
      <c r="H391" t="s">
        <v>697</v>
      </c>
      <c r="K391">
        <f t="shared" si="31"/>
        <v>382.19</v>
      </c>
    </row>
    <row r="392" spans="1:11" x14ac:dyDescent="0.15">
      <c r="A392" s="6">
        <v>390</v>
      </c>
      <c r="B392" t="s">
        <v>414</v>
      </c>
      <c r="C392" t="s">
        <v>23</v>
      </c>
      <c r="D392" s="7">
        <v>279.02999999999997</v>
      </c>
      <c r="E392" s="7">
        <v>279.02999999999997</v>
      </c>
      <c r="F392" s="7">
        <v>0.13</v>
      </c>
      <c r="G392">
        <f t="shared" si="32"/>
        <v>119.35948999999999</v>
      </c>
      <c r="H392" t="s">
        <v>697</v>
      </c>
      <c r="K392">
        <f t="shared" si="31"/>
        <v>279.02999999999997</v>
      </c>
    </row>
    <row r="393" spans="1:11" x14ac:dyDescent="0.15">
      <c r="A393" s="6">
        <v>391</v>
      </c>
      <c r="B393" t="s">
        <v>415</v>
      </c>
      <c r="C393" t="s">
        <v>23</v>
      </c>
      <c r="D393" s="7">
        <v>347.66</v>
      </c>
      <c r="E393" s="7">
        <v>347.66</v>
      </c>
      <c r="F393" s="7">
        <v>0.06</v>
      </c>
      <c r="G393">
        <f t="shared" si="32"/>
        <v>119.70715</v>
      </c>
      <c r="H393" t="s">
        <v>697</v>
      </c>
      <c r="K393">
        <f t="shared" si="31"/>
        <v>347.66</v>
      </c>
    </row>
    <row r="394" spans="1:11" x14ac:dyDescent="0.15">
      <c r="A394" s="6">
        <v>392</v>
      </c>
      <c r="B394" t="s">
        <v>416</v>
      </c>
      <c r="C394" t="s">
        <v>23</v>
      </c>
      <c r="D394" s="7">
        <v>304.23</v>
      </c>
      <c r="E394" s="7">
        <v>304.23</v>
      </c>
      <c r="F394" s="7">
        <v>0.42</v>
      </c>
      <c r="G394">
        <f t="shared" si="32"/>
        <v>120.01138</v>
      </c>
      <c r="H394" t="s">
        <v>697</v>
      </c>
      <c r="K394">
        <f t="shared" si="31"/>
        <v>304.23</v>
      </c>
    </row>
    <row r="395" spans="1:11" x14ac:dyDescent="0.15">
      <c r="A395" s="6">
        <v>393</v>
      </c>
      <c r="B395" t="s">
        <v>417</v>
      </c>
      <c r="C395" t="s">
        <v>16</v>
      </c>
      <c r="D395" s="7">
        <v>299.24</v>
      </c>
      <c r="E395" s="7">
        <v>299.24</v>
      </c>
      <c r="F395" s="7">
        <v>0.54</v>
      </c>
      <c r="G395">
        <f t="shared" si="32"/>
        <v>120.31062</v>
      </c>
      <c r="H395" t="s">
        <v>697</v>
      </c>
      <c r="K395">
        <f t="shared" si="31"/>
        <v>299.24</v>
      </c>
    </row>
    <row r="396" spans="1:11" x14ac:dyDescent="0.15">
      <c r="A396" s="6">
        <v>394</v>
      </c>
      <c r="B396" t="s">
        <v>418</v>
      </c>
      <c r="C396" t="s">
        <v>23</v>
      </c>
      <c r="D396" s="7">
        <v>361.33</v>
      </c>
      <c r="E396" s="7">
        <v>361.33</v>
      </c>
      <c r="F396" s="7">
        <v>0.2</v>
      </c>
      <c r="G396">
        <f t="shared" si="32"/>
        <v>120.67195</v>
      </c>
      <c r="H396" t="s">
        <v>697</v>
      </c>
      <c r="K396">
        <f t="shared" si="31"/>
        <v>361.33</v>
      </c>
    </row>
    <row r="397" spans="1:11" x14ac:dyDescent="0.15">
      <c r="A397" s="6">
        <v>395</v>
      </c>
      <c r="B397" t="s">
        <v>419</v>
      </c>
      <c r="C397" t="s">
        <v>23</v>
      </c>
      <c r="D397" s="7">
        <v>338.55</v>
      </c>
      <c r="E397" s="7">
        <v>338.55</v>
      </c>
      <c r="F397" s="7">
        <v>0.64</v>
      </c>
      <c r="G397">
        <f t="shared" si="32"/>
        <v>121.01049999999999</v>
      </c>
      <c r="H397" t="s">
        <v>697</v>
      </c>
      <c r="K397">
        <f t="shared" si="31"/>
        <v>338.55</v>
      </c>
    </row>
    <row r="398" spans="1:11" x14ac:dyDescent="0.15">
      <c r="A398" s="6">
        <v>396</v>
      </c>
      <c r="B398" t="s">
        <v>420</v>
      </c>
      <c r="C398" t="s">
        <v>23</v>
      </c>
      <c r="D398" s="7">
        <v>326.68</v>
      </c>
      <c r="E398" s="7">
        <v>326.68</v>
      </c>
      <c r="F398" s="7">
        <v>0.05</v>
      </c>
      <c r="G398">
        <f t="shared" si="32"/>
        <v>121.33717999999999</v>
      </c>
      <c r="H398" t="s">
        <v>697</v>
      </c>
      <c r="K398">
        <f t="shared" si="31"/>
        <v>326.68</v>
      </c>
    </row>
    <row r="399" spans="1:11" x14ac:dyDescent="0.15">
      <c r="A399" s="6">
        <v>397</v>
      </c>
      <c r="B399" t="s">
        <v>421</v>
      </c>
      <c r="C399" t="s">
        <v>23</v>
      </c>
      <c r="D399" s="7">
        <v>317.64</v>
      </c>
      <c r="E399" s="7">
        <v>317.64</v>
      </c>
      <c r="F399" s="7">
        <v>0.32</v>
      </c>
      <c r="G399">
        <f t="shared" si="32"/>
        <v>121.65481999999999</v>
      </c>
      <c r="H399" t="s">
        <v>697</v>
      </c>
      <c r="K399">
        <f t="shared" si="31"/>
        <v>317.64</v>
      </c>
    </row>
    <row r="400" spans="1:11" x14ac:dyDescent="0.15">
      <c r="A400" s="6">
        <v>398</v>
      </c>
      <c r="B400" t="s">
        <v>422</v>
      </c>
      <c r="C400" t="s">
        <v>23</v>
      </c>
      <c r="D400" s="7">
        <v>314.61</v>
      </c>
      <c r="E400" s="7">
        <v>314.61</v>
      </c>
      <c r="F400" s="7">
        <v>0.05</v>
      </c>
      <c r="G400">
        <f t="shared" si="32"/>
        <v>121.96942999999999</v>
      </c>
      <c r="H400" t="s">
        <v>697</v>
      </c>
      <c r="K400">
        <f t="shared" si="31"/>
        <v>314.61</v>
      </c>
    </row>
    <row r="401" spans="1:11" x14ac:dyDescent="0.15">
      <c r="A401" s="6">
        <v>399</v>
      </c>
      <c r="B401" t="s">
        <v>423</v>
      </c>
      <c r="C401" t="s">
        <v>23</v>
      </c>
      <c r="D401" s="7">
        <v>299.23</v>
      </c>
      <c r="E401" s="7">
        <v>299.23</v>
      </c>
      <c r="F401" s="7">
        <v>0.02</v>
      </c>
      <c r="G401">
        <f t="shared" si="32"/>
        <v>122.26865999999998</v>
      </c>
      <c r="H401" t="s">
        <v>697</v>
      </c>
      <c r="K401">
        <f t="shared" si="31"/>
        <v>299.23</v>
      </c>
    </row>
    <row r="402" spans="1:11" x14ac:dyDescent="0.15">
      <c r="A402" s="6">
        <v>400</v>
      </c>
      <c r="B402" t="s">
        <v>424</v>
      </c>
      <c r="C402" t="s">
        <v>23</v>
      </c>
      <c r="D402" s="7">
        <v>307.83</v>
      </c>
      <c r="E402" s="7">
        <v>307.83</v>
      </c>
      <c r="F402" s="7">
        <v>0.22</v>
      </c>
      <c r="G402">
        <f t="shared" si="32"/>
        <v>122.57648999999998</v>
      </c>
      <c r="H402" t="s">
        <v>697</v>
      </c>
      <c r="K402">
        <f t="shared" si="31"/>
        <v>307.83</v>
      </c>
    </row>
    <row r="403" spans="1:11" x14ac:dyDescent="0.15">
      <c r="A403" s="6">
        <v>401</v>
      </c>
      <c r="B403" t="s">
        <v>425</v>
      </c>
      <c r="C403" t="s">
        <v>23</v>
      </c>
      <c r="D403" s="7">
        <v>297.47000000000003</v>
      </c>
      <c r="E403" s="7">
        <v>297.47000000000003</v>
      </c>
      <c r="F403" s="7">
        <v>0.17</v>
      </c>
      <c r="G403">
        <f t="shared" si="32"/>
        <v>122.87395999999998</v>
      </c>
      <c r="H403" t="s">
        <v>697</v>
      </c>
      <c r="K403">
        <f t="shared" si="31"/>
        <v>297.47000000000003</v>
      </c>
    </row>
    <row r="404" spans="1:11" x14ac:dyDescent="0.15">
      <c r="A404" s="6">
        <v>402</v>
      </c>
      <c r="B404" t="s">
        <v>426</v>
      </c>
      <c r="C404" t="s">
        <v>23</v>
      </c>
      <c r="D404" s="7">
        <v>341.09</v>
      </c>
      <c r="E404" s="7">
        <v>341.09</v>
      </c>
      <c r="F404" s="7">
        <v>0.14000000000000001</v>
      </c>
      <c r="G404">
        <f t="shared" si="32"/>
        <v>123.21504999999998</v>
      </c>
      <c r="H404" t="s">
        <v>697</v>
      </c>
      <c r="K404">
        <f t="shared" si="31"/>
        <v>341.09</v>
      </c>
    </row>
    <row r="405" spans="1:11" x14ac:dyDescent="0.15">
      <c r="A405" s="6">
        <v>403</v>
      </c>
      <c r="B405" t="s">
        <v>427</v>
      </c>
      <c r="C405" t="s">
        <v>19</v>
      </c>
      <c r="D405" s="7">
        <v>300.67</v>
      </c>
      <c r="E405" s="7">
        <v>309.17</v>
      </c>
      <c r="F405" s="7">
        <v>52.62</v>
      </c>
      <c r="G405">
        <f t="shared" si="32"/>
        <v>123.52421999999997</v>
      </c>
      <c r="H405" t="s">
        <v>697</v>
      </c>
      <c r="J405" s="7">
        <f>D405+8.5</f>
        <v>309.17</v>
      </c>
      <c r="K405">
        <f t="shared" si="31"/>
        <v>309.17</v>
      </c>
    </row>
    <row r="406" spans="1:11" x14ac:dyDescent="0.15">
      <c r="A406" s="6">
        <v>404</v>
      </c>
      <c r="B406" t="s">
        <v>428</v>
      </c>
      <c r="C406" t="s">
        <v>23</v>
      </c>
      <c r="D406" s="7">
        <v>258.97000000000003</v>
      </c>
      <c r="E406" s="7">
        <v>258.97000000000003</v>
      </c>
      <c r="F406" s="7">
        <v>1.75</v>
      </c>
      <c r="G406">
        <f t="shared" si="32"/>
        <v>123.78318999999998</v>
      </c>
      <c r="H406" t="s">
        <v>697</v>
      </c>
      <c r="K406">
        <f t="shared" si="31"/>
        <v>258.97000000000003</v>
      </c>
    </row>
    <row r="407" spans="1:11" x14ac:dyDescent="0.15">
      <c r="A407" s="6">
        <v>405</v>
      </c>
      <c r="B407" t="s">
        <v>429</v>
      </c>
      <c r="C407" t="s">
        <v>23</v>
      </c>
      <c r="D407" s="7">
        <v>348.19</v>
      </c>
      <c r="E407" s="7">
        <v>348.19</v>
      </c>
      <c r="F407" s="7">
        <v>0.93</v>
      </c>
      <c r="G407">
        <f t="shared" si="32"/>
        <v>124.13137999999998</v>
      </c>
      <c r="H407" t="s">
        <v>697</v>
      </c>
      <c r="K407">
        <f t="shared" si="31"/>
        <v>348.19</v>
      </c>
    </row>
    <row r="408" spans="1:11" x14ac:dyDescent="0.15">
      <c r="A408" s="6">
        <v>406</v>
      </c>
      <c r="B408" t="s">
        <v>430</v>
      </c>
      <c r="C408" t="s">
        <v>23</v>
      </c>
      <c r="D408" s="7">
        <v>307.58999999999997</v>
      </c>
      <c r="E408" s="7">
        <v>307.58999999999997</v>
      </c>
      <c r="F408" s="7">
        <v>0.2</v>
      </c>
      <c r="G408">
        <f t="shared" si="32"/>
        <v>124.43896999999998</v>
      </c>
      <c r="H408" t="s">
        <v>697</v>
      </c>
      <c r="K408">
        <f t="shared" si="31"/>
        <v>307.58999999999997</v>
      </c>
    </row>
    <row r="409" spans="1:11" x14ac:dyDescent="0.15">
      <c r="A409" s="6">
        <v>407</v>
      </c>
      <c r="B409" t="s">
        <v>431</v>
      </c>
      <c r="C409" t="s">
        <v>23</v>
      </c>
      <c r="D409" s="7">
        <v>284.67</v>
      </c>
      <c r="E409" s="7">
        <v>284.67</v>
      </c>
      <c r="F409" s="7">
        <v>0.42</v>
      </c>
      <c r="G409">
        <f t="shared" si="32"/>
        <v>124.72363999999999</v>
      </c>
      <c r="H409" t="s">
        <v>697</v>
      </c>
      <c r="K409">
        <f t="shared" si="31"/>
        <v>284.67</v>
      </c>
    </row>
    <row r="410" spans="1:11" x14ac:dyDescent="0.15">
      <c r="A410" s="6">
        <v>408</v>
      </c>
      <c r="B410" t="s">
        <v>432</v>
      </c>
      <c r="C410" t="s">
        <v>23</v>
      </c>
      <c r="D410" s="7">
        <v>374</v>
      </c>
      <c r="E410" s="7">
        <v>374</v>
      </c>
      <c r="F410" s="7">
        <v>0.63</v>
      </c>
      <c r="G410">
        <f t="shared" si="32"/>
        <v>125.09763999999998</v>
      </c>
      <c r="H410" t="s">
        <v>697</v>
      </c>
      <c r="K410">
        <f t="shared" si="31"/>
        <v>374</v>
      </c>
    </row>
    <row r="411" spans="1:11" x14ac:dyDescent="0.15">
      <c r="A411" s="6">
        <v>409</v>
      </c>
      <c r="B411" t="s">
        <v>433</v>
      </c>
      <c r="C411" t="s">
        <v>23</v>
      </c>
      <c r="D411" s="7">
        <v>259</v>
      </c>
      <c r="E411" s="7">
        <v>259</v>
      </c>
      <c r="F411" s="7">
        <v>0.67</v>
      </c>
      <c r="G411">
        <f t="shared" si="32"/>
        <v>125.35663999999998</v>
      </c>
      <c r="H411" t="s">
        <v>697</v>
      </c>
      <c r="K411">
        <f t="shared" si="31"/>
        <v>259</v>
      </c>
    </row>
    <row r="412" spans="1:11" x14ac:dyDescent="0.15">
      <c r="A412" s="6">
        <v>410</v>
      </c>
      <c r="B412" t="s">
        <v>434</v>
      </c>
      <c r="C412" t="s">
        <v>28</v>
      </c>
      <c r="D412" s="7">
        <v>236.97</v>
      </c>
      <c r="E412" s="7">
        <v>245.47</v>
      </c>
      <c r="F412" s="7">
        <v>16.54</v>
      </c>
      <c r="G412">
        <f t="shared" si="32"/>
        <v>125.60210999999998</v>
      </c>
      <c r="H412" t="s">
        <v>697</v>
      </c>
      <c r="J412" s="7">
        <f>D412+8.5</f>
        <v>245.47</v>
      </c>
      <c r="K412">
        <f t="shared" si="31"/>
        <v>245.47</v>
      </c>
    </row>
    <row r="413" spans="1:11" x14ac:dyDescent="0.15">
      <c r="A413" s="6">
        <v>411</v>
      </c>
      <c r="B413" t="s">
        <v>435</v>
      </c>
      <c r="C413" t="s">
        <v>23</v>
      </c>
      <c r="D413" s="7">
        <v>290.88</v>
      </c>
      <c r="E413" s="7">
        <v>290.88</v>
      </c>
      <c r="F413" s="7">
        <v>0.06</v>
      </c>
      <c r="G413">
        <f t="shared" si="32"/>
        <v>125.89298999999998</v>
      </c>
      <c r="H413" t="s">
        <v>697</v>
      </c>
      <c r="K413">
        <f t="shared" si="31"/>
        <v>290.88</v>
      </c>
    </row>
    <row r="414" spans="1:11" x14ac:dyDescent="0.15">
      <c r="A414" s="6">
        <v>412</v>
      </c>
      <c r="B414" t="s">
        <v>436</v>
      </c>
      <c r="C414" t="s">
        <v>23</v>
      </c>
      <c r="D414" s="7">
        <v>233.09</v>
      </c>
      <c r="E414" s="7">
        <v>233.09</v>
      </c>
      <c r="F414" s="7">
        <v>0.3</v>
      </c>
      <c r="G414">
        <f t="shared" si="32"/>
        <v>126.12607999999999</v>
      </c>
      <c r="H414" t="s">
        <v>697</v>
      </c>
      <c r="K414">
        <f t="shared" si="31"/>
        <v>233.09</v>
      </c>
    </row>
    <row r="415" spans="1:11" x14ac:dyDescent="0.15">
      <c r="A415" s="6">
        <v>413</v>
      </c>
      <c r="B415" t="s">
        <v>437</v>
      </c>
      <c r="C415" t="s">
        <v>23</v>
      </c>
      <c r="D415" s="7">
        <v>355.51</v>
      </c>
      <c r="E415" s="7">
        <v>355.51</v>
      </c>
      <c r="F415" s="7">
        <v>0.88</v>
      </c>
      <c r="G415">
        <f t="shared" si="32"/>
        <v>126.48158999999998</v>
      </c>
      <c r="H415" t="s">
        <v>697</v>
      </c>
      <c r="K415">
        <f t="shared" si="31"/>
        <v>355.51</v>
      </c>
    </row>
    <row r="416" spans="1:11" x14ac:dyDescent="0.15">
      <c r="A416" s="6">
        <v>414</v>
      </c>
      <c r="B416" t="s">
        <v>438</v>
      </c>
      <c r="C416" t="s">
        <v>23</v>
      </c>
      <c r="D416" s="7">
        <v>324.75</v>
      </c>
      <c r="E416" s="7">
        <v>324.75</v>
      </c>
      <c r="F416" s="7">
        <v>1.33</v>
      </c>
      <c r="G416">
        <f t="shared" si="32"/>
        <v>126.80633999999998</v>
      </c>
      <c r="H416" t="s">
        <v>697</v>
      </c>
      <c r="K416">
        <f t="shared" si="31"/>
        <v>324.75</v>
      </c>
    </row>
    <row r="417" spans="1:11" x14ac:dyDescent="0.15">
      <c r="A417" s="6">
        <v>415</v>
      </c>
      <c r="B417" t="s">
        <v>439</v>
      </c>
      <c r="C417" t="s">
        <v>23</v>
      </c>
      <c r="D417" s="7">
        <v>329.63</v>
      </c>
      <c r="E417" s="7">
        <v>329.63</v>
      </c>
      <c r="F417" s="7">
        <v>0.57999999999999996</v>
      </c>
      <c r="G417">
        <f t="shared" si="32"/>
        <v>127.13596999999997</v>
      </c>
      <c r="H417" t="s">
        <v>697</v>
      </c>
      <c r="K417">
        <f t="shared" si="31"/>
        <v>329.63</v>
      </c>
    </row>
    <row r="418" spans="1:11" x14ac:dyDescent="0.15">
      <c r="A418" s="6">
        <v>416</v>
      </c>
      <c r="B418" t="s">
        <v>440</v>
      </c>
      <c r="C418" t="s">
        <v>23</v>
      </c>
      <c r="D418" s="7">
        <v>286.11</v>
      </c>
      <c r="E418" s="7">
        <v>286.11</v>
      </c>
      <c r="F418" s="7">
        <v>0.05</v>
      </c>
      <c r="G418">
        <f t="shared" si="32"/>
        <v>127.42207999999997</v>
      </c>
      <c r="H418" t="s">
        <v>697</v>
      </c>
      <c r="K418">
        <f t="shared" si="31"/>
        <v>286.11</v>
      </c>
    </row>
    <row r="419" spans="1:11" x14ac:dyDescent="0.15">
      <c r="A419" s="6">
        <v>417</v>
      </c>
      <c r="B419" t="s">
        <v>441</v>
      </c>
      <c r="C419" t="s">
        <v>23</v>
      </c>
      <c r="D419" s="7">
        <v>383.82</v>
      </c>
      <c r="E419" s="7">
        <v>383.82</v>
      </c>
      <c r="F419" s="7">
        <v>0.27</v>
      </c>
      <c r="G419">
        <f t="shared" si="32"/>
        <v>127.80589999999997</v>
      </c>
      <c r="H419" t="s">
        <v>697</v>
      </c>
      <c r="K419">
        <f t="shared" si="31"/>
        <v>383.82</v>
      </c>
    </row>
    <row r="420" spans="1:11" x14ac:dyDescent="0.15">
      <c r="A420" s="6">
        <v>418</v>
      </c>
      <c r="B420" t="s">
        <v>442</v>
      </c>
      <c r="C420" t="s">
        <v>23</v>
      </c>
      <c r="D420" s="7">
        <v>303.68</v>
      </c>
      <c r="E420" s="7">
        <v>303.68</v>
      </c>
      <c r="F420" s="7">
        <v>0.93</v>
      </c>
      <c r="G420">
        <f t="shared" si="32"/>
        <v>128.10957999999997</v>
      </c>
      <c r="H420" t="s">
        <v>697</v>
      </c>
      <c r="K420">
        <f t="shared" si="31"/>
        <v>303.68</v>
      </c>
    </row>
    <row r="421" spans="1:11" x14ac:dyDescent="0.15">
      <c r="A421" s="6">
        <v>419</v>
      </c>
      <c r="B421" t="s">
        <v>443</v>
      </c>
      <c r="C421" t="s">
        <v>23</v>
      </c>
      <c r="D421" s="7">
        <v>309.63</v>
      </c>
      <c r="E421" s="7">
        <v>309.63</v>
      </c>
      <c r="F421" s="7">
        <v>0.87</v>
      </c>
      <c r="G421">
        <f t="shared" si="32"/>
        <v>128.41920999999996</v>
      </c>
      <c r="H421" t="s">
        <v>697</v>
      </c>
      <c r="K421">
        <f t="shared" si="31"/>
        <v>309.63</v>
      </c>
    </row>
    <row r="422" spans="1:11" x14ac:dyDescent="0.15">
      <c r="A422" s="6">
        <v>420</v>
      </c>
      <c r="B422" t="s">
        <v>444</v>
      </c>
      <c r="C422" t="s">
        <v>23</v>
      </c>
      <c r="D422" s="7">
        <v>328.19</v>
      </c>
      <c r="E422" s="7">
        <v>328.19</v>
      </c>
      <c r="F422" s="7">
        <v>1.1499999999999999</v>
      </c>
      <c r="G422">
        <f t="shared" si="32"/>
        <v>128.74739999999997</v>
      </c>
      <c r="H422" t="s">
        <v>697</v>
      </c>
      <c r="K422">
        <f t="shared" si="31"/>
        <v>328.19</v>
      </c>
    </row>
    <row r="423" spans="1:11" x14ac:dyDescent="0.15">
      <c r="A423" s="6">
        <v>421</v>
      </c>
      <c r="B423" t="s">
        <v>445</v>
      </c>
      <c r="C423" t="s">
        <v>23</v>
      </c>
      <c r="D423" s="7">
        <v>296.76</v>
      </c>
      <c r="E423" s="7">
        <v>296.76</v>
      </c>
      <c r="F423" s="7">
        <v>2.1</v>
      </c>
      <c r="G423">
        <f t="shared" si="32"/>
        <v>129.04415999999998</v>
      </c>
      <c r="H423" t="s">
        <v>697</v>
      </c>
      <c r="K423">
        <f t="shared" si="31"/>
        <v>296.76</v>
      </c>
    </row>
    <row r="424" spans="1:11" x14ac:dyDescent="0.15">
      <c r="A424" s="6">
        <v>422</v>
      </c>
      <c r="B424" t="s">
        <v>446</v>
      </c>
      <c r="C424" t="s">
        <v>23</v>
      </c>
      <c r="D424" s="7">
        <v>379.65</v>
      </c>
      <c r="E424" s="7">
        <v>379.65</v>
      </c>
      <c r="F424" s="7">
        <v>1.1299999999999999</v>
      </c>
      <c r="G424">
        <f t="shared" si="32"/>
        <v>129.42380999999997</v>
      </c>
      <c r="H424" t="s">
        <v>697</v>
      </c>
      <c r="K424">
        <f t="shared" si="31"/>
        <v>379.65</v>
      </c>
    </row>
    <row r="425" spans="1:11" x14ac:dyDescent="0.15">
      <c r="A425" s="6">
        <v>423</v>
      </c>
      <c r="B425" t="s">
        <v>447</v>
      </c>
      <c r="C425" t="s">
        <v>19</v>
      </c>
      <c r="D425" s="7">
        <v>322.27</v>
      </c>
      <c r="E425" s="7">
        <v>330.77</v>
      </c>
      <c r="F425" s="7">
        <v>31.21</v>
      </c>
      <c r="G425">
        <f t="shared" si="32"/>
        <v>129.75457999999998</v>
      </c>
      <c r="H425" t="s">
        <v>697</v>
      </c>
      <c r="J425" s="7">
        <f>D425+8.5</f>
        <v>330.77</v>
      </c>
      <c r="K425">
        <f t="shared" si="31"/>
        <v>330.77</v>
      </c>
    </row>
    <row r="426" spans="1:11" x14ac:dyDescent="0.15">
      <c r="A426" s="6">
        <v>424</v>
      </c>
      <c r="B426" t="s">
        <v>448</v>
      </c>
      <c r="C426" t="s">
        <v>23</v>
      </c>
      <c r="D426" s="7">
        <v>255.17</v>
      </c>
      <c r="E426" s="7">
        <v>255.17</v>
      </c>
      <c r="F426" s="7">
        <v>0.01</v>
      </c>
      <c r="G426">
        <f t="shared" si="32"/>
        <v>130.00974999999997</v>
      </c>
      <c r="H426" t="s">
        <v>697</v>
      </c>
      <c r="K426">
        <f t="shared" si="31"/>
        <v>255.17</v>
      </c>
    </row>
    <row r="427" spans="1:11" x14ac:dyDescent="0.15">
      <c r="A427" s="6">
        <v>425</v>
      </c>
      <c r="B427" t="s">
        <v>449</v>
      </c>
      <c r="C427" t="s">
        <v>23</v>
      </c>
      <c r="D427" s="7">
        <v>353.68</v>
      </c>
      <c r="E427" s="7">
        <v>353.68</v>
      </c>
      <c r="F427" s="7">
        <v>0.52</v>
      </c>
      <c r="G427">
        <f t="shared" si="32"/>
        <v>130.36342999999997</v>
      </c>
      <c r="H427" t="s">
        <v>697</v>
      </c>
      <c r="K427">
        <f t="shared" si="31"/>
        <v>353.68</v>
      </c>
    </row>
    <row r="428" spans="1:11" x14ac:dyDescent="0.15">
      <c r="A428" s="6">
        <v>426</v>
      </c>
      <c r="B428" t="s">
        <v>450</v>
      </c>
      <c r="C428" t="s">
        <v>23</v>
      </c>
      <c r="D428" s="7">
        <v>372.35</v>
      </c>
      <c r="E428" s="7">
        <v>372.35</v>
      </c>
      <c r="F428" s="7">
        <v>0.13</v>
      </c>
      <c r="G428">
        <f t="shared" si="32"/>
        <v>130.73577999999998</v>
      </c>
      <c r="H428" t="s">
        <v>697</v>
      </c>
      <c r="K428">
        <f t="shared" si="31"/>
        <v>372.35</v>
      </c>
    </row>
    <row r="429" spans="1:11" x14ac:dyDescent="0.15">
      <c r="A429" s="6">
        <v>427</v>
      </c>
      <c r="B429" t="s">
        <v>451</v>
      </c>
      <c r="C429" t="s">
        <v>16</v>
      </c>
      <c r="D429" s="7">
        <v>336.23</v>
      </c>
      <c r="E429" s="7">
        <v>336.23</v>
      </c>
      <c r="F429" s="7">
        <v>0.3</v>
      </c>
      <c r="G429">
        <f t="shared" si="32"/>
        <v>131.07200999999998</v>
      </c>
      <c r="H429" t="s">
        <v>697</v>
      </c>
      <c r="K429">
        <f t="shared" si="31"/>
        <v>336.23</v>
      </c>
    </row>
    <row r="430" spans="1:11" x14ac:dyDescent="0.15">
      <c r="A430" s="6">
        <v>428</v>
      </c>
      <c r="B430" t="s">
        <v>452</v>
      </c>
      <c r="C430" t="s">
        <v>23</v>
      </c>
      <c r="D430" s="7">
        <v>338.38</v>
      </c>
      <c r="E430" s="7">
        <v>338.38</v>
      </c>
      <c r="F430" s="7">
        <v>0.24</v>
      </c>
      <c r="G430">
        <f t="shared" si="32"/>
        <v>131.41038999999998</v>
      </c>
      <c r="H430" t="s">
        <v>697</v>
      </c>
      <c r="K430">
        <f t="shared" si="31"/>
        <v>338.38</v>
      </c>
    </row>
    <row r="431" spans="1:11" x14ac:dyDescent="0.15">
      <c r="A431" s="6">
        <v>429</v>
      </c>
      <c r="B431" t="s">
        <v>453</v>
      </c>
      <c r="C431" t="s">
        <v>23</v>
      </c>
      <c r="D431" s="7">
        <v>350.08</v>
      </c>
      <c r="E431" s="7">
        <v>350.08</v>
      </c>
      <c r="F431" s="7">
        <v>0.09</v>
      </c>
      <c r="G431">
        <f t="shared" si="32"/>
        <v>131.76046999999997</v>
      </c>
      <c r="H431" t="s">
        <v>697</v>
      </c>
      <c r="K431">
        <f t="shared" si="31"/>
        <v>350.08</v>
      </c>
    </row>
    <row r="432" spans="1:11" x14ac:dyDescent="0.15">
      <c r="A432" s="6">
        <v>430</v>
      </c>
      <c r="B432" t="s">
        <v>454</v>
      </c>
      <c r="C432" t="s">
        <v>23</v>
      </c>
      <c r="D432" s="7">
        <v>340.49</v>
      </c>
      <c r="E432" s="7">
        <v>340.49</v>
      </c>
      <c r="F432" s="7">
        <v>7.0000000000000007E-2</v>
      </c>
      <c r="G432">
        <f t="shared" si="32"/>
        <v>132.10095999999996</v>
      </c>
      <c r="H432" t="s">
        <v>697</v>
      </c>
      <c r="K432">
        <f t="shared" si="31"/>
        <v>340.49</v>
      </c>
    </row>
    <row r="433" spans="1:11" x14ac:dyDescent="0.15">
      <c r="A433" s="6">
        <v>431</v>
      </c>
      <c r="B433" t="s">
        <v>455</v>
      </c>
      <c r="C433" t="s">
        <v>23</v>
      </c>
      <c r="D433" s="7">
        <v>331.41</v>
      </c>
      <c r="E433" s="7">
        <v>331.41</v>
      </c>
      <c r="F433" s="7">
        <v>7.0000000000000007E-2</v>
      </c>
      <c r="G433">
        <f t="shared" si="32"/>
        <v>132.43236999999996</v>
      </c>
      <c r="H433" t="s">
        <v>697</v>
      </c>
      <c r="K433">
        <f t="shared" si="31"/>
        <v>331.41</v>
      </c>
    </row>
    <row r="434" spans="1:11" x14ac:dyDescent="0.15">
      <c r="A434" s="6">
        <v>432</v>
      </c>
      <c r="B434" t="s">
        <v>458</v>
      </c>
      <c r="C434" t="s">
        <v>23</v>
      </c>
      <c r="D434" s="7">
        <v>358.04</v>
      </c>
      <c r="E434" s="7">
        <v>358.04</v>
      </c>
      <c r="F434" s="7">
        <v>0.41</v>
      </c>
      <c r="G434">
        <f t="shared" si="32"/>
        <v>132.79040999999995</v>
      </c>
      <c r="H434" t="s">
        <v>697</v>
      </c>
      <c r="K434">
        <f t="shared" si="31"/>
        <v>358.04</v>
      </c>
    </row>
    <row r="435" spans="1:11" x14ac:dyDescent="0.15">
      <c r="A435" s="6">
        <v>433</v>
      </c>
      <c r="B435" t="s">
        <v>459</v>
      </c>
      <c r="C435" t="s">
        <v>23</v>
      </c>
      <c r="D435" s="7">
        <v>330.17</v>
      </c>
      <c r="E435" s="7">
        <v>330.17</v>
      </c>
      <c r="F435" s="7">
        <v>0.02</v>
      </c>
      <c r="G435">
        <f t="shared" si="32"/>
        <v>133.12057999999996</v>
      </c>
      <c r="H435" t="s">
        <v>697</v>
      </c>
      <c r="K435">
        <f t="shared" si="31"/>
        <v>330.17</v>
      </c>
    </row>
    <row r="436" spans="1:11" x14ac:dyDescent="0.15">
      <c r="A436" s="6">
        <v>434</v>
      </c>
      <c r="B436" t="s">
        <v>460</v>
      </c>
      <c r="C436" t="s">
        <v>23</v>
      </c>
      <c r="D436" s="7">
        <v>333.97</v>
      </c>
      <c r="E436" s="7">
        <v>333.97</v>
      </c>
      <c r="F436" s="7">
        <v>0.46</v>
      </c>
      <c r="G436">
        <f t="shared" si="32"/>
        <v>133.45454999999995</v>
      </c>
      <c r="H436" t="s">
        <v>697</v>
      </c>
      <c r="K436">
        <f t="shared" si="31"/>
        <v>333.97</v>
      </c>
    </row>
    <row r="437" spans="1:11" x14ac:dyDescent="0.15">
      <c r="A437" s="6">
        <v>435</v>
      </c>
      <c r="B437" t="s">
        <v>461</v>
      </c>
      <c r="C437" t="s">
        <v>23</v>
      </c>
      <c r="D437" s="7">
        <v>323.92</v>
      </c>
      <c r="E437" s="7">
        <v>323.92</v>
      </c>
      <c r="F437" s="7">
        <v>2.12</v>
      </c>
      <c r="G437">
        <f t="shared" si="32"/>
        <v>133.77846999999994</v>
      </c>
      <c r="H437" t="s">
        <v>697</v>
      </c>
      <c r="K437">
        <f t="shared" si="31"/>
        <v>323.92</v>
      </c>
    </row>
    <row r="438" spans="1:11" x14ac:dyDescent="0.15">
      <c r="A438" s="6">
        <v>436</v>
      </c>
      <c r="B438" t="s">
        <v>462</v>
      </c>
      <c r="C438" t="s">
        <v>19</v>
      </c>
      <c r="D438" s="7">
        <v>322.98</v>
      </c>
      <c r="E438" s="7">
        <v>331.48</v>
      </c>
      <c r="F438" s="7">
        <v>31.56</v>
      </c>
      <c r="G438">
        <f t="shared" si="32"/>
        <v>134.10994999999994</v>
      </c>
      <c r="H438" t="s">
        <v>697</v>
      </c>
      <c r="J438" s="7">
        <f>D438+8.5</f>
        <v>331.48</v>
      </c>
      <c r="K438">
        <f t="shared" si="31"/>
        <v>331.48</v>
      </c>
    </row>
    <row r="439" spans="1:11" x14ac:dyDescent="0.15">
      <c r="A439" s="6">
        <v>437</v>
      </c>
      <c r="B439" t="s">
        <v>463</v>
      </c>
      <c r="C439" t="s">
        <v>23</v>
      </c>
      <c r="D439" s="7">
        <v>382.91</v>
      </c>
      <c r="E439" s="7">
        <v>382.91</v>
      </c>
      <c r="F439" s="7">
        <v>0.32</v>
      </c>
      <c r="G439">
        <f t="shared" si="32"/>
        <v>134.49285999999995</v>
      </c>
      <c r="H439" t="s">
        <v>697</v>
      </c>
      <c r="K439">
        <f t="shared" si="31"/>
        <v>382.91</v>
      </c>
    </row>
    <row r="440" spans="1:11" x14ac:dyDescent="0.15">
      <c r="A440" s="6">
        <v>438</v>
      </c>
      <c r="B440" t="s">
        <v>464</v>
      </c>
      <c r="C440" t="s">
        <v>23</v>
      </c>
      <c r="D440" s="7">
        <v>321.69</v>
      </c>
      <c r="E440" s="7">
        <v>321.69</v>
      </c>
      <c r="F440" s="7">
        <v>0.75</v>
      </c>
      <c r="G440">
        <f t="shared" si="32"/>
        <v>134.81454999999994</v>
      </c>
      <c r="H440" t="s">
        <v>697</v>
      </c>
      <c r="K440">
        <f t="shared" si="31"/>
        <v>321.69</v>
      </c>
    </row>
    <row r="441" spans="1:11" x14ac:dyDescent="0.15">
      <c r="A441" s="6">
        <v>439</v>
      </c>
      <c r="B441" t="s">
        <v>465</v>
      </c>
      <c r="C441" t="s">
        <v>23</v>
      </c>
      <c r="D441" s="7">
        <v>367.57</v>
      </c>
      <c r="E441" s="7">
        <v>367.57</v>
      </c>
      <c r="F441" s="7">
        <v>1</v>
      </c>
      <c r="G441">
        <f t="shared" si="32"/>
        <v>135.18211999999994</v>
      </c>
      <c r="H441" t="s">
        <v>697</v>
      </c>
      <c r="K441">
        <f t="shared" si="31"/>
        <v>367.57</v>
      </c>
    </row>
    <row r="442" spans="1:11" x14ac:dyDescent="0.15">
      <c r="A442" s="6">
        <v>440</v>
      </c>
      <c r="B442" t="s">
        <v>466</v>
      </c>
      <c r="C442" t="s">
        <v>23</v>
      </c>
      <c r="D442" s="7">
        <v>300.08999999999997</v>
      </c>
      <c r="E442" s="7">
        <v>300.08999999999997</v>
      </c>
      <c r="F442" s="7">
        <v>0.4</v>
      </c>
      <c r="G442">
        <f t="shared" si="32"/>
        <v>135.48220999999995</v>
      </c>
      <c r="H442" t="s">
        <v>697</v>
      </c>
      <c r="K442">
        <f t="shared" si="31"/>
        <v>300.08999999999997</v>
      </c>
    </row>
    <row r="443" spans="1:11" x14ac:dyDescent="0.15">
      <c r="A443" s="6">
        <v>441</v>
      </c>
      <c r="B443" t="s">
        <v>467</v>
      </c>
      <c r="C443" t="s">
        <v>23</v>
      </c>
      <c r="D443" s="7">
        <v>315.27</v>
      </c>
      <c r="E443" s="7">
        <v>315.27</v>
      </c>
      <c r="F443" s="7">
        <v>0.31</v>
      </c>
      <c r="G443">
        <f t="shared" si="32"/>
        <v>135.79747999999995</v>
      </c>
      <c r="H443" t="s">
        <v>697</v>
      </c>
      <c r="K443">
        <f t="shared" si="31"/>
        <v>315.27</v>
      </c>
    </row>
    <row r="444" spans="1:11" x14ac:dyDescent="0.15">
      <c r="A444" s="6">
        <v>442</v>
      </c>
      <c r="B444" t="s">
        <v>468</v>
      </c>
      <c r="C444" t="s">
        <v>23</v>
      </c>
      <c r="D444" s="7">
        <v>386.09</v>
      </c>
      <c r="E444" s="7">
        <v>386.09</v>
      </c>
      <c r="F444" s="7">
        <v>0.34</v>
      </c>
      <c r="G444">
        <f t="shared" si="32"/>
        <v>136.18356999999995</v>
      </c>
      <c r="H444" t="s">
        <v>697</v>
      </c>
      <c r="K444">
        <f t="shared" si="31"/>
        <v>386.09</v>
      </c>
    </row>
    <row r="445" spans="1:11" x14ac:dyDescent="0.15">
      <c r="A445" s="6">
        <v>443</v>
      </c>
      <c r="B445" t="s">
        <v>469</v>
      </c>
      <c r="C445" t="s">
        <v>28</v>
      </c>
      <c r="D445" s="7">
        <v>286.73</v>
      </c>
      <c r="E445" s="7">
        <v>295.23</v>
      </c>
      <c r="F445" s="7">
        <v>28.48</v>
      </c>
      <c r="G445">
        <f t="shared" si="32"/>
        <v>136.47879999999995</v>
      </c>
      <c r="H445" t="s">
        <v>697</v>
      </c>
      <c r="J445" s="7">
        <f>D445+8.5</f>
        <v>295.23</v>
      </c>
      <c r="K445">
        <f t="shared" si="31"/>
        <v>295.23</v>
      </c>
    </row>
    <row r="446" spans="1:11" x14ac:dyDescent="0.15">
      <c r="A446" s="6">
        <v>444</v>
      </c>
      <c r="B446" t="s">
        <v>470</v>
      </c>
      <c r="C446" t="s">
        <v>23</v>
      </c>
      <c r="D446" s="7">
        <v>302.25</v>
      </c>
      <c r="E446" s="7">
        <v>302.25</v>
      </c>
      <c r="F446" s="7">
        <v>0.51</v>
      </c>
      <c r="G446">
        <f t="shared" si="32"/>
        <v>136.78104999999994</v>
      </c>
      <c r="H446" t="s">
        <v>697</v>
      </c>
      <c r="K446">
        <f t="shared" si="31"/>
        <v>302.25</v>
      </c>
    </row>
    <row r="447" spans="1:11" x14ac:dyDescent="0.15">
      <c r="A447" s="6">
        <v>445</v>
      </c>
      <c r="B447" t="s">
        <v>471</v>
      </c>
      <c r="C447" t="s">
        <v>23</v>
      </c>
      <c r="D447" s="7">
        <v>255.85</v>
      </c>
      <c r="E447" s="7">
        <v>255.85</v>
      </c>
      <c r="F447" s="7">
        <v>0.14000000000000001</v>
      </c>
      <c r="G447">
        <f t="shared" si="32"/>
        <v>137.03689999999995</v>
      </c>
      <c r="H447" t="s">
        <v>697</v>
      </c>
      <c r="K447">
        <f t="shared" si="31"/>
        <v>255.85</v>
      </c>
    </row>
    <row r="448" spans="1:11" x14ac:dyDescent="0.15">
      <c r="A448" s="6">
        <v>446</v>
      </c>
      <c r="B448" t="s">
        <v>472</v>
      </c>
      <c r="C448" t="s">
        <v>23</v>
      </c>
      <c r="D448" s="7">
        <v>343.57</v>
      </c>
      <c r="E448" s="7">
        <v>343.57</v>
      </c>
      <c r="F448" s="7">
        <v>0.44</v>
      </c>
      <c r="G448">
        <f t="shared" si="32"/>
        <v>137.38046999999995</v>
      </c>
      <c r="H448" t="s">
        <v>697</v>
      </c>
      <c r="K448">
        <f t="shared" si="31"/>
        <v>343.57</v>
      </c>
    </row>
    <row r="449" spans="1:11" x14ac:dyDescent="0.15">
      <c r="A449" s="6">
        <v>447</v>
      </c>
      <c r="B449" t="s">
        <v>473</v>
      </c>
      <c r="C449" t="s">
        <v>28</v>
      </c>
      <c r="D449" s="7">
        <v>290</v>
      </c>
      <c r="E449" s="7">
        <v>298.5</v>
      </c>
      <c r="F449" s="7">
        <v>16.829999999999998</v>
      </c>
      <c r="G449">
        <f t="shared" si="32"/>
        <v>137.67896999999994</v>
      </c>
      <c r="H449" t="s">
        <v>697</v>
      </c>
      <c r="J449" s="7">
        <f>D449+8.5</f>
        <v>298.5</v>
      </c>
      <c r="K449">
        <f t="shared" si="31"/>
        <v>298.5</v>
      </c>
    </row>
    <row r="450" spans="1:11" x14ac:dyDescent="0.15">
      <c r="A450" s="6">
        <v>448</v>
      </c>
      <c r="B450" t="s">
        <v>474</v>
      </c>
      <c r="C450" t="s">
        <v>23</v>
      </c>
      <c r="D450" s="7">
        <v>363.88</v>
      </c>
      <c r="E450" s="7">
        <v>363.88</v>
      </c>
      <c r="F450" s="7">
        <v>0.03</v>
      </c>
      <c r="G450">
        <f t="shared" si="32"/>
        <v>138.04284999999993</v>
      </c>
      <c r="H450" t="s">
        <v>697</v>
      </c>
      <c r="K450">
        <f t="shared" si="31"/>
        <v>363.88</v>
      </c>
    </row>
    <row r="451" spans="1:11" x14ac:dyDescent="0.15">
      <c r="A451" s="6">
        <v>449</v>
      </c>
      <c r="B451" t="s">
        <v>475</v>
      </c>
      <c r="C451" t="s">
        <v>23</v>
      </c>
      <c r="D451" s="7">
        <v>219.32</v>
      </c>
      <c r="E451" s="7">
        <v>219.32</v>
      </c>
      <c r="F451" s="7">
        <v>0.13</v>
      </c>
      <c r="G451">
        <f t="shared" si="32"/>
        <v>138.26216999999994</v>
      </c>
      <c r="H451" t="s">
        <v>697</v>
      </c>
      <c r="K451">
        <f t="shared" ref="K451:K503" si="33">IF(J451&lt;&gt;"",J451,D451)</f>
        <v>219.32</v>
      </c>
    </row>
    <row r="452" spans="1:11" x14ac:dyDescent="0.15">
      <c r="A452" s="6">
        <v>450</v>
      </c>
      <c r="B452" t="s">
        <v>476</v>
      </c>
      <c r="C452" t="s">
        <v>23</v>
      </c>
      <c r="D452" s="7">
        <v>354.17</v>
      </c>
      <c r="E452" s="7">
        <v>354.17</v>
      </c>
      <c r="F452" s="7">
        <v>0.1</v>
      </c>
      <c r="G452">
        <f t="shared" ref="G452:G503" si="34">E452/1000+G451</f>
        <v>138.61633999999995</v>
      </c>
      <c r="H452" t="s">
        <v>697</v>
      </c>
      <c r="K452">
        <f t="shared" si="33"/>
        <v>354.17</v>
      </c>
    </row>
    <row r="453" spans="1:11" x14ac:dyDescent="0.15">
      <c r="A453" s="6">
        <v>451</v>
      </c>
      <c r="B453" t="s">
        <v>477</v>
      </c>
      <c r="C453" t="s">
        <v>23</v>
      </c>
      <c r="D453" s="7">
        <v>307.32</v>
      </c>
      <c r="E453" s="7">
        <v>307.32</v>
      </c>
      <c r="F453" s="7">
        <v>0.46</v>
      </c>
      <c r="G453">
        <f t="shared" si="34"/>
        <v>138.92365999999996</v>
      </c>
      <c r="H453" t="s">
        <v>697</v>
      </c>
      <c r="K453">
        <f t="shared" si="33"/>
        <v>307.32</v>
      </c>
    </row>
    <row r="454" spans="1:11" x14ac:dyDescent="0.15">
      <c r="A454" s="6">
        <v>452</v>
      </c>
      <c r="B454" t="s">
        <v>478</v>
      </c>
      <c r="C454" t="s">
        <v>23</v>
      </c>
      <c r="D454" s="7">
        <v>332.65</v>
      </c>
      <c r="E454" s="7">
        <v>332.65</v>
      </c>
      <c r="F454" s="7">
        <v>0.26</v>
      </c>
      <c r="G454">
        <f t="shared" si="34"/>
        <v>139.25630999999996</v>
      </c>
      <c r="H454" t="s">
        <v>697</v>
      </c>
      <c r="K454">
        <f t="shared" si="33"/>
        <v>332.65</v>
      </c>
    </row>
    <row r="455" spans="1:11" x14ac:dyDescent="0.15">
      <c r="A455" s="6">
        <v>453</v>
      </c>
      <c r="B455" t="s">
        <v>479</v>
      </c>
      <c r="C455" t="s">
        <v>23</v>
      </c>
      <c r="D455" s="7">
        <v>345</v>
      </c>
      <c r="E455" s="7">
        <v>345</v>
      </c>
      <c r="F455" s="7">
        <v>0.19</v>
      </c>
      <c r="G455">
        <f t="shared" si="34"/>
        <v>139.60130999999996</v>
      </c>
      <c r="H455" t="s">
        <v>697</v>
      </c>
      <c r="K455">
        <f t="shared" si="33"/>
        <v>345</v>
      </c>
    </row>
    <row r="456" spans="1:11" x14ac:dyDescent="0.15">
      <c r="A456" s="6">
        <v>454</v>
      </c>
      <c r="B456" t="s">
        <v>480</v>
      </c>
      <c r="C456" t="s">
        <v>23</v>
      </c>
      <c r="D456" s="7">
        <v>328.44</v>
      </c>
      <c r="E456" s="7">
        <v>328.44</v>
      </c>
      <c r="F456" s="7">
        <v>0.59</v>
      </c>
      <c r="G456">
        <f t="shared" si="34"/>
        <v>139.92974999999996</v>
      </c>
      <c r="H456" t="s">
        <v>697</v>
      </c>
      <c r="K456">
        <f t="shared" si="33"/>
        <v>328.44</v>
      </c>
    </row>
    <row r="457" spans="1:11" x14ac:dyDescent="0.15">
      <c r="A457" s="6">
        <v>455</v>
      </c>
      <c r="B457" t="s">
        <v>481</v>
      </c>
      <c r="C457" t="s">
        <v>23</v>
      </c>
      <c r="D457" s="7">
        <v>250.61</v>
      </c>
      <c r="E457" s="7">
        <v>250.61</v>
      </c>
      <c r="F457" s="7">
        <v>0.72</v>
      </c>
      <c r="G457">
        <f t="shared" si="34"/>
        <v>140.18035999999995</v>
      </c>
      <c r="H457" t="s">
        <v>697</v>
      </c>
      <c r="K457">
        <f t="shared" si="33"/>
        <v>250.61</v>
      </c>
    </row>
    <row r="458" spans="1:11" x14ac:dyDescent="0.15">
      <c r="A458" s="6">
        <v>456</v>
      </c>
      <c r="B458" t="s">
        <v>482</v>
      </c>
      <c r="C458" t="s">
        <v>23</v>
      </c>
      <c r="D458" s="7">
        <v>358.34</v>
      </c>
      <c r="E458" s="7">
        <v>358.34</v>
      </c>
      <c r="F458" s="7">
        <v>7.0000000000000007E-2</v>
      </c>
      <c r="G458">
        <f t="shared" si="34"/>
        <v>140.53869999999995</v>
      </c>
      <c r="H458" t="s">
        <v>697</v>
      </c>
      <c r="K458">
        <f t="shared" si="33"/>
        <v>358.34</v>
      </c>
    </row>
    <row r="459" spans="1:11" x14ac:dyDescent="0.15">
      <c r="A459" s="6">
        <v>457</v>
      </c>
      <c r="B459" t="s">
        <v>483</v>
      </c>
      <c r="C459" t="s">
        <v>28</v>
      </c>
      <c r="D459" s="7">
        <v>318.67</v>
      </c>
      <c r="E459" s="7">
        <v>327.17</v>
      </c>
      <c r="F459" s="7">
        <v>2.0499999999999998</v>
      </c>
      <c r="G459">
        <f t="shared" si="34"/>
        <v>140.86586999999994</v>
      </c>
      <c r="H459" t="s">
        <v>697</v>
      </c>
      <c r="J459" s="7">
        <f>D459+8.5</f>
        <v>327.17</v>
      </c>
      <c r="K459">
        <f t="shared" si="33"/>
        <v>327.17</v>
      </c>
    </row>
    <row r="460" spans="1:11" x14ac:dyDescent="0.15">
      <c r="A460" s="6">
        <v>458</v>
      </c>
      <c r="B460" t="s">
        <v>484</v>
      </c>
      <c r="C460" t="s">
        <v>23</v>
      </c>
      <c r="D460" s="7">
        <v>346.04</v>
      </c>
      <c r="E460" s="7">
        <v>346.04</v>
      </c>
      <c r="F460" s="7">
        <v>0.09</v>
      </c>
      <c r="G460">
        <f t="shared" si="34"/>
        <v>141.21190999999993</v>
      </c>
      <c r="H460" t="s">
        <v>697</v>
      </c>
      <c r="K460">
        <f t="shared" si="33"/>
        <v>346.04</v>
      </c>
    </row>
    <row r="461" spans="1:11" x14ac:dyDescent="0.15">
      <c r="A461" s="6">
        <v>459</v>
      </c>
      <c r="B461" t="s">
        <v>485</v>
      </c>
      <c r="C461" t="s">
        <v>23</v>
      </c>
      <c r="D461" s="7">
        <v>317.79000000000002</v>
      </c>
      <c r="E461" s="7">
        <v>317.79000000000002</v>
      </c>
      <c r="F461" s="7">
        <v>0.47</v>
      </c>
      <c r="G461">
        <f t="shared" si="34"/>
        <v>141.52969999999993</v>
      </c>
      <c r="H461" t="s">
        <v>697</v>
      </c>
      <c r="K461">
        <f t="shared" si="33"/>
        <v>317.79000000000002</v>
      </c>
    </row>
    <row r="462" spans="1:11" x14ac:dyDescent="0.15">
      <c r="A462" s="6">
        <v>460</v>
      </c>
      <c r="B462" t="s">
        <v>486</v>
      </c>
      <c r="C462" t="s">
        <v>23</v>
      </c>
      <c r="D462" s="7">
        <v>300.60000000000002</v>
      </c>
      <c r="E462" s="7">
        <v>300.60000000000002</v>
      </c>
      <c r="F462" s="7">
        <v>0.78</v>
      </c>
      <c r="G462">
        <f t="shared" si="34"/>
        <v>141.83029999999994</v>
      </c>
      <c r="H462" t="s">
        <v>697</v>
      </c>
      <c r="K462">
        <f t="shared" si="33"/>
        <v>300.60000000000002</v>
      </c>
    </row>
    <row r="463" spans="1:11" x14ac:dyDescent="0.15">
      <c r="A463" s="6">
        <v>461</v>
      </c>
      <c r="B463" t="s">
        <v>487</v>
      </c>
      <c r="C463" t="s">
        <v>23</v>
      </c>
      <c r="D463" s="7">
        <v>335.47</v>
      </c>
      <c r="E463" s="7">
        <v>335.47</v>
      </c>
      <c r="F463" s="7">
        <v>0.19</v>
      </c>
      <c r="G463">
        <f t="shared" si="34"/>
        <v>142.16576999999992</v>
      </c>
      <c r="H463" t="s">
        <v>697</v>
      </c>
      <c r="K463">
        <f t="shared" si="33"/>
        <v>335.47</v>
      </c>
    </row>
    <row r="464" spans="1:11" x14ac:dyDescent="0.15">
      <c r="A464" s="6">
        <v>462</v>
      </c>
      <c r="B464" t="s">
        <v>488</v>
      </c>
      <c r="C464" t="s">
        <v>23</v>
      </c>
      <c r="D464" s="7">
        <v>373.6</v>
      </c>
      <c r="E464" s="7">
        <v>373.6</v>
      </c>
      <c r="F464" s="7">
        <v>0.94</v>
      </c>
      <c r="G464">
        <f t="shared" si="34"/>
        <v>142.53936999999993</v>
      </c>
      <c r="H464" t="s">
        <v>697</v>
      </c>
      <c r="K464">
        <f t="shared" si="33"/>
        <v>373.6</v>
      </c>
    </row>
    <row r="465" spans="1:11" x14ac:dyDescent="0.15">
      <c r="A465" s="6">
        <v>463</v>
      </c>
      <c r="B465" t="s">
        <v>489</v>
      </c>
      <c r="C465" t="s">
        <v>23</v>
      </c>
      <c r="D465" s="7">
        <v>308.27</v>
      </c>
      <c r="E465" s="7">
        <v>308.27</v>
      </c>
      <c r="F465" s="7">
        <v>0.63</v>
      </c>
      <c r="G465">
        <f t="shared" si="34"/>
        <v>142.84763999999993</v>
      </c>
      <c r="H465" t="s">
        <v>697</v>
      </c>
      <c r="K465">
        <f t="shared" si="33"/>
        <v>308.27</v>
      </c>
    </row>
    <row r="466" spans="1:11" x14ac:dyDescent="0.15">
      <c r="A466" s="6">
        <v>464</v>
      </c>
      <c r="B466" t="s">
        <v>490</v>
      </c>
      <c r="C466" t="s">
        <v>23</v>
      </c>
      <c r="D466" s="7">
        <v>347.83</v>
      </c>
      <c r="E466" s="7">
        <v>347.83</v>
      </c>
      <c r="F466" s="7">
        <v>0.41</v>
      </c>
      <c r="G466">
        <f t="shared" si="34"/>
        <v>143.19546999999991</v>
      </c>
      <c r="H466" t="s">
        <v>697</v>
      </c>
      <c r="K466">
        <f t="shared" si="33"/>
        <v>347.83</v>
      </c>
    </row>
    <row r="467" spans="1:11" x14ac:dyDescent="0.15">
      <c r="A467" s="6">
        <v>465</v>
      </c>
      <c r="B467" t="s">
        <v>491</v>
      </c>
      <c r="C467" t="s">
        <v>23</v>
      </c>
      <c r="D467" s="7">
        <v>273.45999999999998</v>
      </c>
      <c r="E467" s="7">
        <v>273.45999999999998</v>
      </c>
      <c r="F467" s="7">
        <v>7.0000000000000007E-2</v>
      </c>
      <c r="G467">
        <f t="shared" si="34"/>
        <v>143.46892999999992</v>
      </c>
      <c r="H467" t="s">
        <v>697</v>
      </c>
      <c r="K467">
        <f t="shared" si="33"/>
        <v>273.45999999999998</v>
      </c>
    </row>
    <row r="468" spans="1:11" x14ac:dyDescent="0.15">
      <c r="A468" s="6">
        <v>466</v>
      </c>
      <c r="B468" t="s">
        <v>492</v>
      </c>
      <c r="C468" t="s">
        <v>23</v>
      </c>
      <c r="D468" s="7">
        <v>283.92</v>
      </c>
      <c r="E468" s="7">
        <v>283.92</v>
      </c>
      <c r="F468" s="7">
        <v>0.37</v>
      </c>
      <c r="G468">
        <f t="shared" si="34"/>
        <v>143.75284999999991</v>
      </c>
      <c r="H468" t="s">
        <v>697</v>
      </c>
      <c r="K468">
        <f t="shared" si="33"/>
        <v>283.92</v>
      </c>
    </row>
    <row r="469" spans="1:11" x14ac:dyDescent="0.15">
      <c r="A469" s="6">
        <v>467</v>
      </c>
      <c r="B469" t="s">
        <v>493</v>
      </c>
      <c r="C469" t="s">
        <v>19</v>
      </c>
      <c r="D469" s="7">
        <v>262.24</v>
      </c>
      <c r="E469" s="7">
        <v>270.74</v>
      </c>
      <c r="F469" s="7">
        <v>28.32</v>
      </c>
      <c r="G469">
        <f t="shared" si="34"/>
        <v>144.0235899999999</v>
      </c>
      <c r="H469" t="s">
        <v>697</v>
      </c>
      <c r="J469" s="7">
        <f t="shared" ref="J469:J473" si="35">D469+8.5</f>
        <v>270.74</v>
      </c>
      <c r="K469">
        <f t="shared" si="33"/>
        <v>270.74</v>
      </c>
    </row>
    <row r="470" spans="1:11" x14ac:dyDescent="0.15">
      <c r="A470" s="6">
        <v>468</v>
      </c>
      <c r="B470" t="s">
        <v>494</v>
      </c>
      <c r="C470" t="s">
        <v>19</v>
      </c>
      <c r="D470" s="7">
        <v>285.79000000000002</v>
      </c>
      <c r="E470" s="7">
        <v>294.29000000000002</v>
      </c>
      <c r="F470" s="7">
        <v>33.1</v>
      </c>
      <c r="G470">
        <f t="shared" si="34"/>
        <v>144.31787999999989</v>
      </c>
      <c r="H470" t="s">
        <v>697</v>
      </c>
      <c r="J470" s="7">
        <f t="shared" si="35"/>
        <v>294.29000000000002</v>
      </c>
      <c r="K470">
        <f t="shared" si="33"/>
        <v>294.29000000000002</v>
      </c>
    </row>
    <row r="471" spans="1:11" x14ac:dyDescent="0.15">
      <c r="A471" s="6">
        <v>469</v>
      </c>
      <c r="B471" t="s">
        <v>495</v>
      </c>
      <c r="C471" t="s">
        <v>28</v>
      </c>
      <c r="D471" s="7">
        <v>288.20999999999998</v>
      </c>
      <c r="E471" s="7">
        <v>296.70999999999998</v>
      </c>
      <c r="F471" s="7">
        <v>23.6</v>
      </c>
      <c r="G471">
        <f t="shared" si="34"/>
        <v>144.61458999999988</v>
      </c>
      <c r="H471" t="s">
        <v>697</v>
      </c>
      <c r="J471" s="7">
        <f t="shared" si="35"/>
        <v>296.70999999999998</v>
      </c>
      <c r="K471">
        <f t="shared" si="33"/>
        <v>296.70999999999998</v>
      </c>
    </row>
    <row r="472" spans="1:11" x14ac:dyDescent="0.15">
      <c r="A472" s="6">
        <v>470</v>
      </c>
      <c r="B472" t="s">
        <v>496</v>
      </c>
      <c r="C472" t="s">
        <v>28</v>
      </c>
      <c r="D472" s="7">
        <v>362.39</v>
      </c>
      <c r="E472" s="7">
        <v>370.89</v>
      </c>
      <c r="F472" s="7">
        <v>27.09</v>
      </c>
      <c r="G472">
        <f t="shared" si="34"/>
        <v>144.98547999999988</v>
      </c>
      <c r="H472" t="s">
        <v>697</v>
      </c>
      <c r="J472" s="7">
        <f t="shared" si="35"/>
        <v>370.89</v>
      </c>
      <c r="K472">
        <f t="shared" si="33"/>
        <v>370.89</v>
      </c>
    </row>
    <row r="473" spans="1:11" x14ac:dyDescent="0.15">
      <c r="A473" s="6">
        <v>471</v>
      </c>
      <c r="B473" t="s">
        <v>497</v>
      </c>
      <c r="C473" t="s">
        <v>19</v>
      </c>
      <c r="D473" s="7">
        <v>338.61</v>
      </c>
      <c r="E473" s="7">
        <v>347.11</v>
      </c>
      <c r="F473" s="7">
        <v>43.03</v>
      </c>
      <c r="G473">
        <f t="shared" si="34"/>
        <v>145.33258999999987</v>
      </c>
      <c r="H473" t="s">
        <v>697</v>
      </c>
      <c r="J473" s="7">
        <f t="shared" si="35"/>
        <v>347.11</v>
      </c>
      <c r="K473">
        <f t="shared" si="33"/>
        <v>347.11</v>
      </c>
    </row>
    <row r="474" spans="1:11" x14ac:dyDescent="0.15">
      <c r="A474" s="6">
        <v>472</v>
      </c>
      <c r="B474" t="s">
        <v>498</v>
      </c>
      <c r="C474" t="s">
        <v>23</v>
      </c>
      <c r="D474" s="7">
        <v>351.08</v>
      </c>
      <c r="E474" s="7">
        <v>351.08</v>
      </c>
      <c r="F474" s="7">
        <v>0.21</v>
      </c>
      <c r="G474">
        <f t="shared" si="34"/>
        <v>145.68366999999986</v>
      </c>
      <c r="H474" t="s">
        <v>697</v>
      </c>
      <c r="K474">
        <f t="shared" si="33"/>
        <v>351.08</v>
      </c>
    </row>
    <row r="475" spans="1:11" x14ac:dyDescent="0.15">
      <c r="A475" s="6">
        <v>473</v>
      </c>
      <c r="B475" t="s">
        <v>499</v>
      </c>
      <c r="C475" t="s">
        <v>23</v>
      </c>
      <c r="D475" s="7">
        <v>353.96</v>
      </c>
      <c r="E475" s="7">
        <v>353.96</v>
      </c>
      <c r="F475" s="7">
        <v>0.79</v>
      </c>
      <c r="G475">
        <f t="shared" si="34"/>
        <v>146.03762999999987</v>
      </c>
      <c r="H475" t="s">
        <v>697</v>
      </c>
      <c r="K475">
        <f t="shared" si="33"/>
        <v>353.96</v>
      </c>
    </row>
    <row r="476" spans="1:11" x14ac:dyDescent="0.15">
      <c r="A476" s="6">
        <v>474</v>
      </c>
      <c r="B476" t="s">
        <v>500</v>
      </c>
      <c r="C476" t="s">
        <v>23</v>
      </c>
      <c r="D476" s="7">
        <v>358.91</v>
      </c>
      <c r="E476" s="7">
        <v>358.91</v>
      </c>
      <c r="F476" s="7">
        <v>1.17</v>
      </c>
      <c r="G476">
        <f t="shared" si="34"/>
        <v>146.39653999999987</v>
      </c>
      <c r="H476" t="s">
        <v>697</v>
      </c>
      <c r="K476">
        <f t="shared" si="33"/>
        <v>358.91</v>
      </c>
    </row>
    <row r="477" spans="1:11" x14ac:dyDescent="0.15">
      <c r="A477" s="6">
        <v>475</v>
      </c>
      <c r="B477" t="s">
        <v>501</v>
      </c>
      <c r="C477" t="s">
        <v>23</v>
      </c>
      <c r="D477" s="7">
        <v>324.70999999999998</v>
      </c>
      <c r="E477" s="7">
        <v>324.70999999999998</v>
      </c>
      <c r="F477" s="7">
        <v>1.1399999999999999</v>
      </c>
      <c r="G477">
        <f t="shared" si="34"/>
        <v>146.72124999999988</v>
      </c>
      <c r="H477" t="s">
        <v>697</v>
      </c>
      <c r="K477">
        <f t="shared" si="33"/>
        <v>324.70999999999998</v>
      </c>
    </row>
    <row r="478" spans="1:11" x14ac:dyDescent="0.15">
      <c r="A478" s="6">
        <v>476</v>
      </c>
      <c r="B478" t="s">
        <v>502</v>
      </c>
      <c r="C478" t="s">
        <v>23</v>
      </c>
      <c r="D478" s="7">
        <v>341.62</v>
      </c>
      <c r="E478" s="7">
        <v>341.62</v>
      </c>
      <c r="F478" s="7">
        <v>3.42</v>
      </c>
      <c r="G478">
        <f t="shared" si="34"/>
        <v>147.06286999999989</v>
      </c>
      <c r="H478" t="s">
        <v>697</v>
      </c>
      <c r="K478">
        <f t="shared" si="33"/>
        <v>341.62</v>
      </c>
    </row>
    <row r="479" spans="1:11" x14ac:dyDescent="0.15">
      <c r="A479" s="6">
        <v>477</v>
      </c>
      <c r="B479" t="s">
        <v>503</v>
      </c>
      <c r="C479" t="s">
        <v>16</v>
      </c>
      <c r="D479" s="7">
        <v>318.67</v>
      </c>
      <c r="E479" s="7">
        <v>318.67</v>
      </c>
      <c r="F479" s="7">
        <v>8.0500000000000007</v>
      </c>
      <c r="G479">
        <f t="shared" si="34"/>
        <v>147.38153999999989</v>
      </c>
      <c r="H479" t="s">
        <v>697</v>
      </c>
      <c r="K479">
        <f t="shared" si="33"/>
        <v>318.67</v>
      </c>
    </row>
    <row r="480" spans="1:11" x14ac:dyDescent="0.15">
      <c r="A480" s="6">
        <v>478</v>
      </c>
      <c r="B480" t="s">
        <v>504</v>
      </c>
      <c r="C480" t="s">
        <v>23</v>
      </c>
      <c r="D480" s="7">
        <v>272.33</v>
      </c>
      <c r="E480" s="7">
        <v>272.33</v>
      </c>
      <c r="F480" s="7">
        <v>0.22</v>
      </c>
      <c r="G480">
        <f t="shared" si="34"/>
        <v>147.6538699999999</v>
      </c>
      <c r="H480" t="s">
        <v>697</v>
      </c>
      <c r="K480">
        <f t="shared" si="33"/>
        <v>272.33</v>
      </c>
    </row>
    <row r="481" spans="1:11" x14ac:dyDescent="0.15">
      <c r="A481" s="6">
        <v>479</v>
      </c>
      <c r="B481" t="s">
        <v>505</v>
      </c>
      <c r="C481" t="s">
        <v>28</v>
      </c>
      <c r="D481" s="7">
        <v>538.44000000000005</v>
      </c>
      <c r="E481" s="7">
        <v>546.94000000000005</v>
      </c>
      <c r="F481" s="7">
        <v>0.22</v>
      </c>
      <c r="G481">
        <f t="shared" si="34"/>
        <v>148.2008099999999</v>
      </c>
      <c r="H481" t="s">
        <v>697</v>
      </c>
      <c r="J481" s="7">
        <f t="shared" ref="J481:J482" si="36">D481+8.5</f>
        <v>546.94000000000005</v>
      </c>
      <c r="K481">
        <f t="shared" si="33"/>
        <v>546.94000000000005</v>
      </c>
    </row>
    <row r="482" spans="1:11" x14ac:dyDescent="0.15">
      <c r="A482" s="6">
        <v>480</v>
      </c>
      <c r="B482" t="s">
        <v>506</v>
      </c>
      <c r="C482" t="s">
        <v>19</v>
      </c>
      <c r="D482" s="7">
        <v>301.05</v>
      </c>
      <c r="E482" s="7">
        <v>309.55</v>
      </c>
      <c r="F482" s="7">
        <v>23.39</v>
      </c>
      <c r="G482">
        <f t="shared" si="34"/>
        <v>148.51035999999991</v>
      </c>
      <c r="H482" t="s">
        <v>697</v>
      </c>
      <c r="J482" s="7">
        <f t="shared" si="36"/>
        <v>309.55</v>
      </c>
      <c r="K482">
        <f t="shared" si="33"/>
        <v>309.55</v>
      </c>
    </row>
    <row r="483" spans="1:11" x14ac:dyDescent="0.15">
      <c r="A483" s="6">
        <v>481</v>
      </c>
      <c r="B483" t="s">
        <v>507</v>
      </c>
      <c r="C483" t="s">
        <v>16</v>
      </c>
      <c r="D483" s="7">
        <v>293.24</v>
      </c>
      <c r="E483" s="7">
        <v>293.24</v>
      </c>
      <c r="F483" s="7">
        <v>0.42</v>
      </c>
      <c r="G483">
        <f t="shared" si="34"/>
        <v>148.8035999999999</v>
      </c>
      <c r="H483" t="s">
        <v>697</v>
      </c>
      <c r="K483">
        <f t="shared" si="33"/>
        <v>293.24</v>
      </c>
    </row>
    <row r="484" spans="1:11" x14ac:dyDescent="0.15">
      <c r="A484" s="6">
        <v>482</v>
      </c>
      <c r="B484" t="s">
        <v>508</v>
      </c>
      <c r="C484" t="s">
        <v>19</v>
      </c>
      <c r="D484" s="7">
        <v>276.35000000000002</v>
      </c>
      <c r="E484" s="7">
        <v>284.85000000000002</v>
      </c>
      <c r="F484" s="7">
        <v>53.43</v>
      </c>
      <c r="G484">
        <f t="shared" si="34"/>
        <v>149.08844999999991</v>
      </c>
      <c r="H484" t="s">
        <v>697</v>
      </c>
      <c r="J484" s="7">
        <f>D484+8.5</f>
        <v>284.85000000000002</v>
      </c>
      <c r="K484">
        <f t="shared" si="33"/>
        <v>284.85000000000002</v>
      </c>
    </row>
    <row r="485" spans="1:11" x14ac:dyDescent="0.15">
      <c r="A485" s="6">
        <v>483</v>
      </c>
      <c r="B485" t="s">
        <v>509</v>
      </c>
      <c r="C485" t="s">
        <v>23</v>
      </c>
      <c r="D485" s="7">
        <v>356.7</v>
      </c>
      <c r="E485" s="7">
        <v>356.7</v>
      </c>
      <c r="F485" s="7">
        <v>0.05</v>
      </c>
      <c r="G485">
        <f t="shared" si="34"/>
        <v>149.4451499999999</v>
      </c>
      <c r="H485" t="s">
        <v>697</v>
      </c>
      <c r="K485">
        <f t="shared" si="33"/>
        <v>356.7</v>
      </c>
    </row>
    <row r="486" spans="1:11" x14ac:dyDescent="0.15">
      <c r="A486" s="6">
        <v>484</v>
      </c>
      <c r="B486" t="s">
        <v>510</v>
      </c>
      <c r="C486" t="s">
        <v>23</v>
      </c>
      <c r="D486" s="7">
        <v>307.74</v>
      </c>
      <c r="E486" s="7">
        <v>307.74</v>
      </c>
      <c r="F486" s="7">
        <v>0.26</v>
      </c>
      <c r="G486">
        <f t="shared" si="34"/>
        <v>149.75288999999989</v>
      </c>
      <c r="H486" t="s">
        <v>697</v>
      </c>
      <c r="K486">
        <f t="shared" si="33"/>
        <v>307.74</v>
      </c>
    </row>
    <row r="487" spans="1:11" x14ac:dyDescent="0.15">
      <c r="A487" s="6">
        <v>485</v>
      </c>
      <c r="B487" t="s">
        <v>511</v>
      </c>
      <c r="C487" t="s">
        <v>28</v>
      </c>
      <c r="D487" s="7">
        <v>318.89999999999998</v>
      </c>
      <c r="E487" s="7">
        <v>327.39999999999998</v>
      </c>
      <c r="F487" s="7">
        <v>23.63</v>
      </c>
      <c r="G487">
        <f t="shared" si="34"/>
        <v>150.08028999999991</v>
      </c>
      <c r="H487" t="s">
        <v>697</v>
      </c>
      <c r="J487" s="7">
        <f>D487+8.5</f>
        <v>327.39999999999998</v>
      </c>
      <c r="K487">
        <f t="shared" si="33"/>
        <v>327.39999999999998</v>
      </c>
    </row>
    <row r="488" spans="1:11" x14ac:dyDescent="0.15">
      <c r="A488" s="6">
        <v>486</v>
      </c>
      <c r="B488" t="s">
        <v>512</v>
      </c>
      <c r="C488" t="s">
        <v>23</v>
      </c>
      <c r="D488" s="7">
        <v>302.38</v>
      </c>
      <c r="E488" s="7">
        <v>302.38</v>
      </c>
      <c r="F488" s="7">
        <v>0.02</v>
      </c>
      <c r="G488">
        <f t="shared" si="34"/>
        <v>150.38266999999991</v>
      </c>
      <c r="H488" t="s">
        <v>697</v>
      </c>
      <c r="K488">
        <f t="shared" si="33"/>
        <v>302.38</v>
      </c>
    </row>
    <row r="489" spans="1:11" x14ac:dyDescent="0.15">
      <c r="A489" s="6">
        <v>487</v>
      </c>
      <c r="B489" t="s">
        <v>513</v>
      </c>
      <c r="C489" t="s">
        <v>23</v>
      </c>
      <c r="D489" s="7">
        <v>310.79000000000002</v>
      </c>
      <c r="E489" s="7">
        <v>310.79000000000002</v>
      </c>
      <c r="F489" s="7">
        <v>0.03</v>
      </c>
      <c r="G489">
        <f t="shared" si="34"/>
        <v>150.6934599999999</v>
      </c>
      <c r="H489" t="s">
        <v>697</v>
      </c>
      <c r="K489">
        <f t="shared" si="33"/>
        <v>310.79000000000002</v>
      </c>
    </row>
    <row r="490" spans="1:11" x14ac:dyDescent="0.15">
      <c r="A490" s="6">
        <v>488</v>
      </c>
      <c r="B490" t="s">
        <v>514</v>
      </c>
      <c r="C490" t="s">
        <v>19</v>
      </c>
      <c r="D490" s="7">
        <v>261.99</v>
      </c>
      <c r="E490" s="7">
        <v>270.49</v>
      </c>
      <c r="F490" s="7">
        <v>41.04</v>
      </c>
      <c r="G490">
        <f t="shared" si="34"/>
        <v>150.9639499999999</v>
      </c>
      <c r="H490" t="s">
        <v>697</v>
      </c>
      <c r="J490" s="7">
        <f>D490+8.5</f>
        <v>270.49</v>
      </c>
      <c r="K490">
        <f t="shared" si="33"/>
        <v>270.49</v>
      </c>
    </row>
    <row r="491" spans="1:11" x14ac:dyDescent="0.15">
      <c r="A491" s="6">
        <v>489</v>
      </c>
      <c r="B491" t="s">
        <v>515</v>
      </c>
      <c r="C491" t="s">
        <v>23</v>
      </c>
      <c r="D491" s="7">
        <v>301.27</v>
      </c>
      <c r="E491" s="7">
        <v>301.27</v>
      </c>
      <c r="F491" s="7">
        <v>0.34</v>
      </c>
      <c r="G491">
        <f t="shared" si="34"/>
        <v>151.26521999999989</v>
      </c>
      <c r="H491" t="s">
        <v>697</v>
      </c>
      <c r="K491">
        <f t="shared" si="33"/>
        <v>301.27</v>
      </c>
    </row>
    <row r="492" spans="1:11" x14ac:dyDescent="0.15">
      <c r="A492" s="6">
        <v>490</v>
      </c>
      <c r="B492" t="s">
        <v>516</v>
      </c>
      <c r="C492" t="s">
        <v>23</v>
      </c>
      <c r="D492" s="7">
        <v>335.53</v>
      </c>
      <c r="E492" s="7">
        <v>335.53</v>
      </c>
      <c r="F492" s="7">
        <v>0.32</v>
      </c>
      <c r="G492">
        <f t="shared" si="34"/>
        <v>151.60074999999989</v>
      </c>
      <c r="H492" t="s">
        <v>697</v>
      </c>
      <c r="K492">
        <f t="shared" si="33"/>
        <v>335.53</v>
      </c>
    </row>
    <row r="493" spans="1:11" x14ac:dyDescent="0.15">
      <c r="A493" s="6">
        <v>491</v>
      </c>
      <c r="B493" t="s">
        <v>517</v>
      </c>
      <c r="C493" t="s">
        <v>23</v>
      </c>
      <c r="D493" s="7">
        <v>268.77999999999997</v>
      </c>
      <c r="E493" s="7">
        <v>268.77999999999997</v>
      </c>
      <c r="F493" s="7">
        <v>0.01</v>
      </c>
      <c r="G493">
        <f t="shared" si="34"/>
        <v>151.86952999999988</v>
      </c>
      <c r="H493" t="s">
        <v>697</v>
      </c>
      <c r="K493">
        <f t="shared" si="33"/>
        <v>268.77999999999997</v>
      </c>
    </row>
    <row r="494" spans="1:11" x14ac:dyDescent="0.15">
      <c r="A494" s="6">
        <v>492</v>
      </c>
      <c r="B494" t="s">
        <v>518</v>
      </c>
      <c r="C494" t="s">
        <v>23</v>
      </c>
      <c r="D494" s="7">
        <v>389.13</v>
      </c>
      <c r="E494" s="7">
        <v>389.13</v>
      </c>
      <c r="F494" s="7">
        <v>0.17</v>
      </c>
      <c r="G494">
        <f t="shared" si="34"/>
        <v>152.25865999999988</v>
      </c>
      <c r="H494" t="s">
        <v>697</v>
      </c>
      <c r="K494">
        <f t="shared" si="33"/>
        <v>389.13</v>
      </c>
    </row>
    <row r="495" spans="1:11" x14ac:dyDescent="0.15">
      <c r="A495" s="6">
        <v>493</v>
      </c>
      <c r="B495" t="s">
        <v>519</v>
      </c>
      <c r="C495" t="s">
        <v>23</v>
      </c>
      <c r="D495" s="7">
        <v>296.14</v>
      </c>
      <c r="E495" s="7">
        <v>296.14</v>
      </c>
      <c r="F495" s="7">
        <v>0.04</v>
      </c>
      <c r="G495">
        <f t="shared" si="34"/>
        <v>152.55479999999989</v>
      </c>
      <c r="H495" t="s">
        <v>697</v>
      </c>
      <c r="K495">
        <f t="shared" si="33"/>
        <v>296.14</v>
      </c>
    </row>
    <row r="496" spans="1:11" x14ac:dyDescent="0.15">
      <c r="A496" s="6">
        <v>494</v>
      </c>
      <c r="B496" t="s">
        <v>520</v>
      </c>
      <c r="C496" t="s">
        <v>23</v>
      </c>
      <c r="D496" s="7">
        <v>285.02</v>
      </c>
      <c r="E496" s="7">
        <v>285.02</v>
      </c>
      <c r="F496" s="7">
        <v>7.0000000000000007E-2</v>
      </c>
      <c r="G496">
        <f t="shared" si="34"/>
        <v>152.83981999999989</v>
      </c>
      <c r="H496" t="s">
        <v>697</v>
      </c>
      <c r="K496">
        <f t="shared" si="33"/>
        <v>285.02</v>
      </c>
    </row>
    <row r="497" spans="1:11" x14ac:dyDescent="0.15">
      <c r="A497" s="6">
        <v>495</v>
      </c>
      <c r="B497" t="s">
        <v>521</v>
      </c>
      <c r="C497" t="s">
        <v>23</v>
      </c>
      <c r="D497" s="7">
        <v>314.77</v>
      </c>
      <c r="E497" s="7">
        <v>314.77</v>
      </c>
      <c r="F497" s="7">
        <v>0.93</v>
      </c>
      <c r="G497">
        <f t="shared" si="34"/>
        <v>153.1545899999999</v>
      </c>
      <c r="H497" t="s">
        <v>697</v>
      </c>
      <c r="K497">
        <f t="shared" si="33"/>
        <v>314.77</v>
      </c>
    </row>
    <row r="498" spans="1:11" x14ac:dyDescent="0.15">
      <c r="A498" s="6">
        <v>496</v>
      </c>
      <c r="B498" t="s">
        <v>522</v>
      </c>
      <c r="C498" t="s">
        <v>23</v>
      </c>
      <c r="D498" s="7">
        <v>248.38</v>
      </c>
      <c r="E498" s="7">
        <v>248.38</v>
      </c>
      <c r="F498" s="7">
        <v>2.3199999999999998</v>
      </c>
      <c r="G498">
        <f t="shared" si="34"/>
        <v>153.4029699999999</v>
      </c>
      <c r="H498" t="s">
        <v>697</v>
      </c>
      <c r="K498">
        <f t="shared" si="33"/>
        <v>248.38</v>
      </c>
    </row>
    <row r="499" spans="1:11" x14ac:dyDescent="0.15">
      <c r="A499" s="6">
        <v>497</v>
      </c>
      <c r="B499" t="s">
        <v>523</v>
      </c>
      <c r="C499" t="s">
        <v>16</v>
      </c>
      <c r="D499" s="7">
        <v>257.38</v>
      </c>
      <c r="E499" s="7">
        <v>257.38</v>
      </c>
      <c r="F499" s="7">
        <v>1.1499999999999999</v>
      </c>
      <c r="G499">
        <f t="shared" si="34"/>
        <v>153.66034999999991</v>
      </c>
      <c r="H499" t="s">
        <v>697</v>
      </c>
      <c r="K499">
        <f t="shared" si="33"/>
        <v>257.38</v>
      </c>
    </row>
    <row r="500" spans="1:11" x14ac:dyDescent="0.15">
      <c r="A500" s="6">
        <v>498</v>
      </c>
      <c r="B500" t="s">
        <v>524</v>
      </c>
      <c r="C500" t="s">
        <v>23</v>
      </c>
      <c r="D500" s="7">
        <v>252.19</v>
      </c>
      <c r="E500" s="7">
        <v>252.19</v>
      </c>
      <c r="F500" s="7">
        <v>11.87</v>
      </c>
      <c r="G500">
        <f t="shared" si="34"/>
        <v>153.91253999999992</v>
      </c>
      <c r="H500" t="s">
        <v>697</v>
      </c>
      <c r="K500">
        <f t="shared" si="33"/>
        <v>252.19</v>
      </c>
    </row>
    <row r="501" spans="1:11" x14ac:dyDescent="0.15">
      <c r="A501" s="6">
        <v>499</v>
      </c>
      <c r="B501" t="s">
        <v>525</v>
      </c>
      <c r="C501" t="s">
        <v>23</v>
      </c>
      <c r="D501" s="7">
        <v>249.04</v>
      </c>
      <c r="E501" s="7">
        <v>249.04</v>
      </c>
      <c r="F501" s="7">
        <v>2.82</v>
      </c>
      <c r="G501">
        <f t="shared" si="34"/>
        <v>154.16157999999993</v>
      </c>
      <c r="H501" t="s">
        <v>697</v>
      </c>
      <c r="K501">
        <f t="shared" si="33"/>
        <v>249.04</v>
      </c>
    </row>
    <row r="502" spans="1:11" x14ac:dyDescent="0.15">
      <c r="A502" s="6">
        <v>500</v>
      </c>
      <c r="B502" t="s">
        <v>526</v>
      </c>
      <c r="C502" t="s">
        <v>19</v>
      </c>
      <c r="D502" s="7">
        <v>383.48</v>
      </c>
      <c r="E502" s="7">
        <v>391.98</v>
      </c>
      <c r="F502" s="7">
        <v>29.6</v>
      </c>
      <c r="G502">
        <f t="shared" si="34"/>
        <v>154.55355999999992</v>
      </c>
      <c r="H502" t="s">
        <v>697</v>
      </c>
      <c r="J502" s="7">
        <f>D502+8.5</f>
        <v>391.98</v>
      </c>
      <c r="K502">
        <f t="shared" si="33"/>
        <v>391.98</v>
      </c>
    </row>
    <row r="503" spans="1:11" x14ac:dyDescent="0.15">
      <c r="A503" s="6">
        <v>501</v>
      </c>
      <c r="B503" t="s">
        <v>527</v>
      </c>
      <c r="C503" t="s">
        <v>10</v>
      </c>
      <c r="D503" s="7">
        <v>22</v>
      </c>
      <c r="E503" s="7">
        <v>22</v>
      </c>
      <c r="F503" s="6">
        <v>1</v>
      </c>
      <c r="G503">
        <f t="shared" si="34"/>
        <v>154.57555999999991</v>
      </c>
      <c r="H503" t="s">
        <v>697</v>
      </c>
      <c r="K503">
        <f t="shared" si="33"/>
        <v>22</v>
      </c>
    </row>
  </sheetData>
  <autoFilter ref="A1:I503" xr:uid="{F61C81E0-598E-42BE-9FA8-A676B59BECCA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47B6D4-EFAB-437C-B432-DFA30E85681C}">
  <dimension ref="A1:K184"/>
  <sheetViews>
    <sheetView workbookViewId="0">
      <selection activeCell="C184" sqref="C184"/>
    </sheetView>
  </sheetViews>
  <sheetFormatPr baseColWidth="10" defaultColWidth="8.83203125" defaultRowHeight="13" x14ac:dyDescent="0.15"/>
  <cols>
    <col min="2" max="2" width="12.1640625" bestFit="1" customWidth="1"/>
  </cols>
  <sheetData>
    <row r="1" spans="1:11" ht="64" x14ac:dyDescent="0.2">
      <c r="A1" s="15" t="s">
        <v>0</v>
      </c>
      <c r="B1" s="16" t="s">
        <v>1</v>
      </c>
      <c r="C1" s="16" t="s">
        <v>2</v>
      </c>
      <c r="D1" s="16" t="s">
        <v>3</v>
      </c>
      <c r="E1" s="25" t="s">
        <v>4</v>
      </c>
      <c r="F1" s="16" t="s">
        <v>5</v>
      </c>
      <c r="G1" s="15" t="s">
        <v>6</v>
      </c>
      <c r="H1" s="17" t="s">
        <v>7</v>
      </c>
      <c r="I1" s="15" t="s">
        <v>8</v>
      </c>
    </row>
    <row r="2" spans="1:11" x14ac:dyDescent="0.15">
      <c r="A2" s="6">
        <v>0</v>
      </c>
      <c r="B2" t="s">
        <v>693</v>
      </c>
      <c r="C2" t="s">
        <v>10</v>
      </c>
      <c r="D2" s="7">
        <v>66.08</v>
      </c>
      <c r="E2" s="7">
        <v>66.08</v>
      </c>
      <c r="F2" s="7">
        <v>100.41</v>
      </c>
      <c r="G2">
        <f>E2/1000</f>
        <v>6.608E-2</v>
      </c>
      <c r="H2" t="s">
        <v>704</v>
      </c>
      <c r="K2">
        <f>IF(J2&lt;&gt;"",J2,D2)</f>
        <v>66.08</v>
      </c>
    </row>
    <row r="3" spans="1:11" x14ac:dyDescent="0.15">
      <c r="A3" s="6">
        <v>1</v>
      </c>
      <c r="B3" t="s">
        <v>13</v>
      </c>
      <c r="C3" t="s">
        <v>19</v>
      </c>
      <c r="D3" s="7">
        <v>253.58</v>
      </c>
      <c r="E3" s="7">
        <v>262.08000000000004</v>
      </c>
      <c r="F3" s="7">
        <v>53.63</v>
      </c>
      <c r="G3" s="7">
        <f>G2+E3/1000</f>
        <v>0.32816000000000001</v>
      </c>
      <c r="H3" t="s">
        <v>704</v>
      </c>
      <c r="J3" s="7">
        <f>D3+8.5</f>
        <v>262.08000000000004</v>
      </c>
      <c r="K3">
        <f t="shared" ref="K3:K66" si="0">IF(J3&lt;&gt;"",J3,D3)</f>
        <v>262.08000000000004</v>
      </c>
    </row>
    <row r="4" spans="1:11" x14ac:dyDescent="0.15">
      <c r="A4" s="6">
        <v>2</v>
      </c>
      <c r="B4" t="s">
        <v>15</v>
      </c>
      <c r="C4" t="s">
        <v>19</v>
      </c>
      <c r="D4" s="7">
        <v>114.56</v>
      </c>
      <c r="E4" s="7">
        <v>123.06</v>
      </c>
      <c r="F4" s="7">
        <v>64.819999999999993</v>
      </c>
      <c r="G4" s="7">
        <f t="shared" ref="G4:G67" si="1">G3+E4/1000</f>
        <v>0.45122000000000001</v>
      </c>
      <c r="H4" t="s">
        <v>704</v>
      </c>
      <c r="J4" s="7">
        <f>D4+8.5</f>
        <v>123.06</v>
      </c>
      <c r="K4">
        <f t="shared" si="0"/>
        <v>123.06</v>
      </c>
    </row>
    <row r="5" spans="1:11" x14ac:dyDescent="0.15">
      <c r="A5" s="6">
        <v>3</v>
      </c>
      <c r="B5" t="s">
        <v>17</v>
      </c>
      <c r="C5" t="s">
        <v>23</v>
      </c>
      <c r="D5" s="7">
        <v>306.95</v>
      </c>
      <c r="E5" s="7">
        <v>306.95</v>
      </c>
      <c r="F5" s="7">
        <v>15.96</v>
      </c>
      <c r="G5" s="7">
        <f t="shared" si="1"/>
        <v>0.75817000000000001</v>
      </c>
      <c r="H5" t="s">
        <v>704</v>
      </c>
      <c r="K5">
        <f t="shared" si="0"/>
        <v>306.95</v>
      </c>
    </row>
    <row r="6" spans="1:11" x14ac:dyDescent="0.15">
      <c r="A6" s="6">
        <v>4</v>
      </c>
      <c r="B6" t="s">
        <v>18</v>
      </c>
      <c r="C6" t="s">
        <v>23</v>
      </c>
      <c r="D6" s="7">
        <v>184.05</v>
      </c>
      <c r="E6" s="7">
        <v>184.05</v>
      </c>
      <c r="F6" s="7">
        <v>4.3600000000000003</v>
      </c>
      <c r="G6" s="7">
        <f t="shared" si="1"/>
        <v>0.94222000000000006</v>
      </c>
      <c r="H6" t="s">
        <v>704</v>
      </c>
      <c r="K6">
        <f t="shared" si="0"/>
        <v>184.05</v>
      </c>
    </row>
    <row r="7" spans="1:11" x14ac:dyDescent="0.15">
      <c r="A7" s="6">
        <v>5</v>
      </c>
      <c r="B7" t="s">
        <v>20</v>
      </c>
      <c r="C7" t="s">
        <v>19</v>
      </c>
      <c r="D7" s="7">
        <v>410.57</v>
      </c>
      <c r="E7" s="7">
        <v>419.07</v>
      </c>
      <c r="F7" s="7">
        <v>23.03</v>
      </c>
      <c r="G7" s="7">
        <f t="shared" si="1"/>
        <v>1.3612900000000001</v>
      </c>
      <c r="H7" t="s">
        <v>704</v>
      </c>
      <c r="J7" s="7">
        <f t="shared" ref="J7:J8" si="2">D7+8.5</f>
        <v>419.07</v>
      </c>
      <c r="K7">
        <f t="shared" si="0"/>
        <v>419.07</v>
      </c>
    </row>
    <row r="8" spans="1:11" x14ac:dyDescent="0.15">
      <c r="A8" s="6">
        <v>6</v>
      </c>
      <c r="B8" t="s">
        <v>21</v>
      </c>
      <c r="C8" t="s">
        <v>19</v>
      </c>
      <c r="D8" s="7">
        <v>388.93</v>
      </c>
      <c r="E8" s="7">
        <v>397.43</v>
      </c>
      <c r="F8" s="7">
        <v>38.950000000000003</v>
      </c>
      <c r="G8" s="7">
        <f t="shared" si="1"/>
        <v>1.7587200000000001</v>
      </c>
      <c r="H8" t="s">
        <v>704</v>
      </c>
      <c r="J8" s="7">
        <f t="shared" si="2"/>
        <v>397.43</v>
      </c>
      <c r="K8">
        <f t="shared" si="0"/>
        <v>397.43</v>
      </c>
    </row>
    <row r="9" spans="1:11" x14ac:dyDescent="0.15">
      <c r="A9" s="6">
        <v>7</v>
      </c>
      <c r="B9" t="s">
        <v>22</v>
      </c>
      <c r="C9" t="s">
        <v>16</v>
      </c>
      <c r="D9" s="7">
        <v>197.49</v>
      </c>
      <c r="E9" s="7">
        <v>197.49</v>
      </c>
      <c r="F9" s="7">
        <v>5.85</v>
      </c>
      <c r="G9" s="7">
        <f t="shared" si="1"/>
        <v>1.95621</v>
      </c>
      <c r="H9" t="s">
        <v>704</v>
      </c>
      <c r="K9">
        <f t="shared" si="0"/>
        <v>197.49</v>
      </c>
    </row>
    <row r="10" spans="1:11" x14ac:dyDescent="0.15">
      <c r="A10" s="6">
        <v>8</v>
      </c>
      <c r="B10" t="s">
        <v>24</v>
      </c>
      <c r="C10" t="s">
        <v>23</v>
      </c>
      <c r="D10" s="7">
        <v>271.63</v>
      </c>
      <c r="E10" s="7">
        <v>271.63</v>
      </c>
      <c r="F10" s="7">
        <v>0.48</v>
      </c>
      <c r="G10" s="7">
        <f t="shared" si="1"/>
        <v>2.22784</v>
      </c>
      <c r="H10" t="s">
        <v>704</v>
      </c>
      <c r="K10">
        <f t="shared" si="0"/>
        <v>271.63</v>
      </c>
    </row>
    <row r="11" spans="1:11" x14ac:dyDescent="0.15">
      <c r="A11" s="6">
        <v>9</v>
      </c>
      <c r="B11" t="s">
        <v>25</v>
      </c>
      <c r="C11" t="s">
        <v>23</v>
      </c>
      <c r="D11" s="7">
        <v>264.92</v>
      </c>
      <c r="E11" s="7">
        <v>264.92</v>
      </c>
      <c r="F11" s="7">
        <v>0.11</v>
      </c>
      <c r="G11" s="7">
        <f t="shared" si="1"/>
        <v>2.4927600000000001</v>
      </c>
      <c r="H11" t="s">
        <v>704</v>
      </c>
      <c r="K11">
        <f t="shared" si="0"/>
        <v>264.92</v>
      </c>
    </row>
    <row r="12" spans="1:11" x14ac:dyDescent="0.15">
      <c r="A12" s="6">
        <v>10</v>
      </c>
      <c r="B12" t="s">
        <v>26</v>
      </c>
      <c r="C12" t="s">
        <v>28</v>
      </c>
      <c r="D12" s="7">
        <v>350.71</v>
      </c>
      <c r="E12" s="7">
        <v>359.21</v>
      </c>
      <c r="F12" s="7">
        <v>13.88</v>
      </c>
      <c r="G12" s="7">
        <f t="shared" si="1"/>
        <v>2.8519700000000001</v>
      </c>
      <c r="H12" t="s">
        <v>704</v>
      </c>
      <c r="J12" s="7">
        <f t="shared" ref="J12:J13" si="3">D12+8.5</f>
        <v>359.21</v>
      </c>
      <c r="K12">
        <f t="shared" si="0"/>
        <v>359.21</v>
      </c>
    </row>
    <row r="13" spans="1:11" x14ac:dyDescent="0.15">
      <c r="A13" s="6">
        <v>11</v>
      </c>
      <c r="B13" t="s">
        <v>27</v>
      </c>
      <c r="C13" t="s">
        <v>28</v>
      </c>
      <c r="D13" s="7">
        <v>368.54</v>
      </c>
      <c r="E13" s="7">
        <v>377.04</v>
      </c>
      <c r="F13" s="7">
        <v>3.09</v>
      </c>
      <c r="G13" s="7">
        <f t="shared" si="1"/>
        <v>3.2290100000000002</v>
      </c>
      <c r="H13" t="s">
        <v>704</v>
      </c>
      <c r="J13" s="7">
        <f t="shared" si="3"/>
        <v>377.04</v>
      </c>
      <c r="K13">
        <f t="shared" si="0"/>
        <v>377.04</v>
      </c>
    </row>
    <row r="14" spans="1:11" x14ac:dyDescent="0.15">
      <c r="A14" s="6">
        <v>12</v>
      </c>
      <c r="B14" t="s">
        <v>29</v>
      </c>
      <c r="C14" t="s">
        <v>23</v>
      </c>
      <c r="D14" s="7">
        <v>294.08999999999997</v>
      </c>
      <c r="E14" s="7">
        <v>294.08999999999997</v>
      </c>
      <c r="F14" s="7">
        <v>1.27</v>
      </c>
      <c r="G14" s="7">
        <f t="shared" si="1"/>
        <v>3.5231000000000003</v>
      </c>
      <c r="H14" t="s">
        <v>704</v>
      </c>
      <c r="K14">
        <f t="shared" si="0"/>
        <v>294.08999999999997</v>
      </c>
    </row>
    <row r="15" spans="1:11" x14ac:dyDescent="0.15">
      <c r="A15" s="6">
        <v>13</v>
      </c>
      <c r="B15" t="s">
        <v>30</v>
      </c>
      <c r="C15" t="s">
        <v>23</v>
      </c>
      <c r="D15" s="7">
        <v>251.74</v>
      </c>
      <c r="E15" s="7">
        <v>251.74</v>
      </c>
      <c r="F15" s="7">
        <v>2.2599999999999998</v>
      </c>
      <c r="G15" s="7">
        <f t="shared" si="1"/>
        <v>3.7748400000000002</v>
      </c>
      <c r="H15" t="s">
        <v>704</v>
      </c>
      <c r="K15">
        <f t="shared" si="0"/>
        <v>251.74</v>
      </c>
    </row>
    <row r="16" spans="1:11" x14ac:dyDescent="0.15">
      <c r="A16" s="6">
        <v>14</v>
      </c>
      <c r="B16" t="s">
        <v>31</v>
      </c>
      <c r="C16" t="s">
        <v>28</v>
      </c>
      <c r="D16" s="7">
        <v>282.99</v>
      </c>
      <c r="E16" s="7">
        <v>291.49</v>
      </c>
      <c r="F16" s="7">
        <v>18.89</v>
      </c>
      <c r="G16" s="7">
        <f t="shared" si="1"/>
        <v>4.0663300000000007</v>
      </c>
      <c r="H16" t="s">
        <v>704</v>
      </c>
      <c r="J16" s="7">
        <f>D16+8.5</f>
        <v>291.49</v>
      </c>
      <c r="K16">
        <f t="shared" si="0"/>
        <v>291.49</v>
      </c>
    </row>
    <row r="17" spans="1:11" x14ac:dyDescent="0.15">
      <c r="A17" s="6">
        <v>15</v>
      </c>
      <c r="B17" t="s">
        <v>32</v>
      </c>
      <c r="C17" t="s">
        <v>23</v>
      </c>
      <c r="D17" s="7">
        <v>268.58999999999997</v>
      </c>
      <c r="E17" s="7">
        <v>268.58999999999997</v>
      </c>
      <c r="F17" s="7">
        <v>2.31</v>
      </c>
      <c r="G17" s="7">
        <f t="shared" si="1"/>
        <v>4.3349200000000003</v>
      </c>
      <c r="H17" t="s">
        <v>704</v>
      </c>
      <c r="K17">
        <f t="shared" si="0"/>
        <v>268.58999999999997</v>
      </c>
    </row>
    <row r="18" spans="1:11" x14ac:dyDescent="0.15">
      <c r="A18" s="6">
        <v>16</v>
      </c>
      <c r="B18" t="s">
        <v>33</v>
      </c>
      <c r="C18" t="s">
        <v>28</v>
      </c>
      <c r="D18" s="7">
        <v>320.17</v>
      </c>
      <c r="E18" s="7">
        <v>328.67</v>
      </c>
      <c r="F18" s="7">
        <v>17.899999999999999</v>
      </c>
      <c r="G18" s="7">
        <f t="shared" si="1"/>
        <v>4.6635900000000001</v>
      </c>
      <c r="H18" t="s">
        <v>704</v>
      </c>
      <c r="J18" s="7">
        <f>D18+8.5</f>
        <v>328.67</v>
      </c>
      <c r="K18">
        <f t="shared" si="0"/>
        <v>328.67</v>
      </c>
    </row>
    <row r="19" spans="1:11" x14ac:dyDescent="0.15">
      <c r="A19" s="6">
        <v>17</v>
      </c>
      <c r="B19" t="s">
        <v>34</v>
      </c>
      <c r="C19" t="s">
        <v>23</v>
      </c>
      <c r="D19" s="7">
        <v>246.89</v>
      </c>
      <c r="E19" s="7">
        <v>246.89</v>
      </c>
      <c r="F19" s="7">
        <v>1.43</v>
      </c>
      <c r="G19" s="7">
        <f t="shared" si="1"/>
        <v>4.9104799999999997</v>
      </c>
      <c r="H19" t="s">
        <v>704</v>
      </c>
      <c r="K19">
        <f t="shared" si="0"/>
        <v>246.89</v>
      </c>
    </row>
    <row r="20" spans="1:11" x14ac:dyDescent="0.15">
      <c r="A20" s="6">
        <v>18</v>
      </c>
      <c r="B20" t="s">
        <v>35</v>
      </c>
      <c r="C20" t="s">
        <v>23</v>
      </c>
      <c r="D20" s="7">
        <v>335.97</v>
      </c>
      <c r="E20" s="7">
        <v>335.97</v>
      </c>
      <c r="F20" s="7">
        <v>0.12</v>
      </c>
      <c r="G20" s="7">
        <f t="shared" si="1"/>
        <v>5.2464499999999994</v>
      </c>
      <c r="H20" t="s">
        <v>704</v>
      </c>
      <c r="K20">
        <f t="shared" si="0"/>
        <v>335.97</v>
      </c>
    </row>
    <row r="21" spans="1:11" x14ac:dyDescent="0.15">
      <c r="A21" s="6">
        <v>19</v>
      </c>
      <c r="B21" t="s">
        <v>36</v>
      </c>
      <c r="C21" t="s">
        <v>23</v>
      </c>
      <c r="D21" s="7">
        <v>250.61</v>
      </c>
      <c r="E21" s="7">
        <v>250.61</v>
      </c>
      <c r="F21" s="7">
        <v>0.63</v>
      </c>
      <c r="G21" s="7">
        <f t="shared" si="1"/>
        <v>5.4970599999999994</v>
      </c>
      <c r="H21" t="s">
        <v>704</v>
      </c>
      <c r="K21">
        <f t="shared" si="0"/>
        <v>250.61</v>
      </c>
    </row>
    <row r="22" spans="1:11" x14ac:dyDescent="0.15">
      <c r="A22" s="6">
        <v>20</v>
      </c>
      <c r="B22" t="s">
        <v>37</v>
      </c>
      <c r="C22" t="s">
        <v>23</v>
      </c>
      <c r="D22" s="7">
        <v>392.08</v>
      </c>
      <c r="E22" s="7">
        <v>392.08</v>
      </c>
      <c r="F22" s="7">
        <v>3.22</v>
      </c>
      <c r="G22" s="7">
        <f t="shared" si="1"/>
        <v>5.8891399999999994</v>
      </c>
      <c r="H22" t="s">
        <v>704</v>
      </c>
      <c r="K22">
        <f t="shared" si="0"/>
        <v>392.08</v>
      </c>
    </row>
    <row r="23" spans="1:11" x14ac:dyDescent="0.15">
      <c r="A23" s="6">
        <v>21</v>
      </c>
      <c r="B23" t="s">
        <v>38</v>
      </c>
      <c r="C23" t="s">
        <v>28</v>
      </c>
      <c r="D23" s="7">
        <v>101.57</v>
      </c>
      <c r="E23" s="7">
        <v>110.07</v>
      </c>
      <c r="F23" s="7">
        <v>173.8</v>
      </c>
      <c r="G23" s="7">
        <f t="shared" si="1"/>
        <v>5.9992099999999997</v>
      </c>
      <c r="H23" t="s">
        <v>697</v>
      </c>
      <c r="J23" s="7">
        <f>D23+8.5</f>
        <v>110.07</v>
      </c>
      <c r="K23">
        <f t="shared" si="0"/>
        <v>110.07</v>
      </c>
    </row>
    <row r="24" spans="1:11" x14ac:dyDescent="0.15">
      <c r="A24" s="6">
        <v>22</v>
      </c>
      <c r="B24" t="s">
        <v>39</v>
      </c>
      <c r="C24" t="s">
        <v>23</v>
      </c>
      <c r="D24" s="7">
        <v>322.14</v>
      </c>
      <c r="E24" s="7">
        <v>322.14</v>
      </c>
      <c r="F24" s="7">
        <v>179.84</v>
      </c>
      <c r="G24" s="7">
        <f t="shared" si="1"/>
        <v>6.3213499999999998</v>
      </c>
      <c r="H24" t="s">
        <v>697</v>
      </c>
      <c r="K24">
        <f t="shared" si="0"/>
        <v>322.14</v>
      </c>
    </row>
    <row r="25" spans="1:11" x14ac:dyDescent="0.15">
      <c r="A25" s="6">
        <v>23</v>
      </c>
      <c r="B25" t="s">
        <v>40</v>
      </c>
      <c r="C25" t="s">
        <v>23</v>
      </c>
      <c r="D25" s="7">
        <v>314.48</v>
      </c>
      <c r="E25" s="7">
        <v>314.48</v>
      </c>
      <c r="F25" s="7">
        <v>1.07</v>
      </c>
      <c r="G25" s="7">
        <f t="shared" si="1"/>
        <v>6.6358299999999995</v>
      </c>
      <c r="H25" t="s">
        <v>697</v>
      </c>
      <c r="K25">
        <f t="shared" si="0"/>
        <v>314.48</v>
      </c>
    </row>
    <row r="26" spans="1:11" x14ac:dyDescent="0.15">
      <c r="A26" s="6">
        <v>24</v>
      </c>
      <c r="B26" t="s">
        <v>41</v>
      </c>
      <c r="C26" t="s">
        <v>23</v>
      </c>
      <c r="D26" s="7">
        <v>563.07000000000005</v>
      </c>
      <c r="E26" s="7">
        <v>563.07000000000005</v>
      </c>
      <c r="F26" s="7">
        <v>4.71</v>
      </c>
      <c r="G26" s="7">
        <f t="shared" si="1"/>
        <v>7.1988999999999992</v>
      </c>
      <c r="H26" t="s">
        <v>697</v>
      </c>
      <c r="K26">
        <f t="shared" si="0"/>
        <v>563.07000000000005</v>
      </c>
    </row>
    <row r="27" spans="1:11" x14ac:dyDescent="0.15">
      <c r="A27" s="6">
        <v>25</v>
      </c>
      <c r="B27" t="s">
        <v>42</v>
      </c>
      <c r="C27" t="s">
        <v>23</v>
      </c>
      <c r="D27" s="7">
        <v>278.33</v>
      </c>
      <c r="E27" s="7">
        <v>278.33</v>
      </c>
      <c r="F27" s="7">
        <v>0.27</v>
      </c>
      <c r="G27" s="7">
        <f t="shared" si="1"/>
        <v>7.4772299999999987</v>
      </c>
      <c r="H27" t="s">
        <v>697</v>
      </c>
      <c r="K27">
        <f t="shared" si="0"/>
        <v>278.33</v>
      </c>
    </row>
    <row r="28" spans="1:11" x14ac:dyDescent="0.15">
      <c r="A28" s="6">
        <v>26</v>
      </c>
      <c r="B28" t="s">
        <v>43</v>
      </c>
      <c r="C28" t="s">
        <v>23</v>
      </c>
      <c r="D28" s="7">
        <v>281.91000000000003</v>
      </c>
      <c r="E28" s="7">
        <v>281.91000000000003</v>
      </c>
      <c r="F28" s="7">
        <v>0.88</v>
      </c>
      <c r="G28" s="7">
        <f t="shared" si="1"/>
        <v>7.7591399999999986</v>
      </c>
      <c r="H28" t="s">
        <v>697</v>
      </c>
      <c r="K28">
        <f t="shared" si="0"/>
        <v>281.91000000000003</v>
      </c>
    </row>
    <row r="29" spans="1:11" x14ac:dyDescent="0.15">
      <c r="A29" s="6">
        <v>27</v>
      </c>
      <c r="B29" t="s">
        <v>44</v>
      </c>
      <c r="C29" t="s">
        <v>28</v>
      </c>
      <c r="D29" s="7">
        <v>340.96</v>
      </c>
      <c r="E29" s="7">
        <v>349.46</v>
      </c>
      <c r="F29" s="7">
        <v>21.13</v>
      </c>
      <c r="G29" s="7">
        <f t="shared" si="1"/>
        <v>8.1085999999999991</v>
      </c>
      <c r="H29" t="s">
        <v>697</v>
      </c>
      <c r="J29" s="7">
        <f>D29+8.5</f>
        <v>349.46</v>
      </c>
      <c r="K29">
        <f t="shared" si="0"/>
        <v>349.46</v>
      </c>
    </row>
    <row r="30" spans="1:11" x14ac:dyDescent="0.15">
      <c r="A30" s="6">
        <v>28</v>
      </c>
      <c r="B30" t="s">
        <v>45</v>
      </c>
      <c r="C30" t="s">
        <v>23</v>
      </c>
      <c r="D30" s="7">
        <v>350.86</v>
      </c>
      <c r="E30" s="7">
        <v>350.86</v>
      </c>
      <c r="F30" s="7">
        <v>0.27</v>
      </c>
      <c r="G30" s="7">
        <f t="shared" si="1"/>
        <v>8.45946</v>
      </c>
      <c r="H30" t="s">
        <v>697</v>
      </c>
      <c r="K30">
        <f t="shared" si="0"/>
        <v>350.86</v>
      </c>
    </row>
    <row r="31" spans="1:11" x14ac:dyDescent="0.15">
      <c r="A31" s="6">
        <v>29</v>
      </c>
      <c r="B31" t="s">
        <v>46</v>
      </c>
      <c r="C31" t="s">
        <v>28</v>
      </c>
      <c r="D31" s="7">
        <v>355.72</v>
      </c>
      <c r="E31" s="7">
        <v>364.22</v>
      </c>
      <c r="F31" s="7">
        <v>6.81</v>
      </c>
      <c r="G31" s="7">
        <f t="shared" si="1"/>
        <v>8.8236799999999995</v>
      </c>
      <c r="H31" t="s">
        <v>697</v>
      </c>
      <c r="J31" s="7">
        <f>D31+8.5</f>
        <v>364.22</v>
      </c>
      <c r="K31">
        <f t="shared" si="0"/>
        <v>364.22</v>
      </c>
    </row>
    <row r="32" spans="1:11" x14ac:dyDescent="0.15">
      <c r="A32" s="6">
        <v>30</v>
      </c>
      <c r="B32" t="s">
        <v>47</v>
      </c>
      <c r="C32" t="s">
        <v>23</v>
      </c>
      <c r="D32" s="7">
        <v>360.14</v>
      </c>
      <c r="E32" s="7">
        <v>360.14</v>
      </c>
      <c r="F32" s="7">
        <v>0.01</v>
      </c>
      <c r="G32" s="7">
        <f t="shared" si="1"/>
        <v>9.183819999999999</v>
      </c>
      <c r="H32" t="s">
        <v>697</v>
      </c>
      <c r="K32">
        <f t="shared" si="0"/>
        <v>360.14</v>
      </c>
    </row>
    <row r="33" spans="1:11" x14ac:dyDescent="0.15">
      <c r="A33" s="6">
        <v>31</v>
      </c>
      <c r="B33" t="s">
        <v>48</v>
      </c>
      <c r="C33" t="s">
        <v>23</v>
      </c>
      <c r="D33" s="7">
        <v>328.72</v>
      </c>
      <c r="E33" s="7">
        <v>328.72</v>
      </c>
      <c r="F33" s="7">
        <v>0.3</v>
      </c>
      <c r="G33" s="7">
        <f t="shared" si="1"/>
        <v>9.5125399999999996</v>
      </c>
      <c r="H33" t="s">
        <v>697</v>
      </c>
      <c r="K33">
        <f t="shared" si="0"/>
        <v>328.72</v>
      </c>
    </row>
    <row r="34" spans="1:11" x14ac:dyDescent="0.15">
      <c r="A34" s="6">
        <v>32</v>
      </c>
      <c r="B34" t="s">
        <v>49</v>
      </c>
      <c r="C34" t="s">
        <v>23</v>
      </c>
      <c r="D34" s="7">
        <v>311.19</v>
      </c>
      <c r="E34" s="7">
        <v>311.19</v>
      </c>
      <c r="F34" s="7">
        <v>1.19</v>
      </c>
      <c r="G34" s="7">
        <f t="shared" si="1"/>
        <v>9.8237299999999994</v>
      </c>
      <c r="H34" t="s">
        <v>697</v>
      </c>
      <c r="K34">
        <f t="shared" si="0"/>
        <v>311.19</v>
      </c>
    </row>
    <row r="35" spans="1:11" x14ac:dyDescent="0.15">
      <c r="A35" s="6">
        <v>33</v>
      </c>
      <c r="B35" t="s">
        <v>50</v>
      </c>
      <c r="C35" t="s">
        <v>23</v>
      </c>
      <c r="D35" s="7">
        <v>351.75</v>
      </c>
      <c r="E35" s="7">
        <v>351.75</v>
      </c>
      <c r="F35" s="7">
        <v>0.98</v>
      </c>
      <c r="G35" s="7">
        <f t="shared" si="1"/>
        <v>10.17548</v>
      </c>
      <c r="H35" t="s">
        <v>697</v>
      </c>
      <c r="K35">
        <f t="shared" si="0"/>
        <v>351.75</v>
      </c>
    </row>
    <row r="36" spans="1:11" x14ac:dyDescent="0.15">
      <c r="A36" s="6">
        <v>34</v>
      </c>
      <c r="B36" t="s">
        <v>51</v>
      </c>
      <c r="C36" t="s">
        <v>23</v>
      </c>
      <c r="D36" s="7">
        <v>314.24</v>
      </c>
      <c r="E36" s="7">
        <v>314.24</v>
      </c>
      <c r="F36" s="7">
        <v>0.63</v>
      </c>
      <c r="G36" s="7">
        <f t="shared" si="1"/>
        <v>10.48972</v>
      </c>
      <c r="H36" t="s">
        <v>697</v>
      </c>
      <c r="K36">
        <f t="shared" si="0"/>
        <v>314.24</v>
      </c>
    </row>
    <row r="37" spans="1:11" x14ac:dyDescent="0.15">
      <c r="A37" s="6">
        <v>35</v>
      </c>
      <c r="B37" t="s">
        <v>52</v>
      </c>
      <c r="C37" t="s">
        <v>23</v>
      </c>
      <c r="D37" s="7">
        <v>275.68</v>
      </c>
      <c r="E37" s="7">
        <v>275.68</v>
      </c>
      <c r="F37" s="7">
        <v>0.74</v>
      </c>
      <c r="G37" s="7">
        <f t="shared" si="1"/>
        <v>10.7654</v>
      </c>
      <c r="H37" t="s">
        <v>697</v>
      </c>
      <c r="K37">
        <f t="shared" si="0"/>
        <v>275.68</v>
      </c>
    </row>
    <row r="38" spans="1:11" x14ac:dyDescent="0.15">
      <c r="A38" s="6">
        <v>36</v>
      </c>
      <c r="B38" t="s">
        <v>53</v>
      </c>
      <c r="C38" t="s">
        <v>23</v>
      </c>
      <c r="D38" s="7">
        <v>289.57</v>
      </c>
      <c r="E38" s="7">
        <v>289.57</v>
      </c>
      <c r="F38" s="7">
        <v>1.22</v>
      </c>
      <c r="G38" s="7">
        <f t="shared" si="1"/>
        <v>11.054969999999999</v>
      </c>
      <c r="H38" t="s">
        <v>697</v>
      </c>
      <c r="K38">
        <f t="shared" si="0"/>
        <v>289.57</v>
      </c>
    </row>
    <row r="39" spans="1:11" x14ac:dyDescent="0.15">
      <c r="A39" s="6">
        <v>37</v>
      </c>
      <c r="B39" t="s">
        <v>54</v>
      </c>
      <c r="C39" t="s">
        <v>23</v>
      </c>
      <c r="D39" s="7">
        <v>238.2</v>
      </c>
      <c r="E39" s="7">
        <v>238.2</v>
      </c>
      <c r="F39" s="7">
        <v>0.44</v>
      </c>
      <c r="G39" s="7">
        <f t="shared" si="1"/>
        <v>11.29317</v>
      </c>
      <c r="H39" t="s">
        <v>697</v>
      </c>
      <c r="K39">
        <f t="shared" si="0"/>
        <v>238.2</v>
      </c>
    </row>
    <row r="40" spans="1:11" x14ac:dyDescent="0.15">
      <c r="A40" s="6">
        <v>38</v>
      </c>
      <c r="B40" t="s">
        <v>55</v>
      </c>
      <c r="C40" t="s">
        <v>28</v>
      </c>
      <c r="D40" s="7">
        <v>330.64</v>
      </c>
      <c r="E40" s="7">
        <v>339.14</v>
      </c>
      <c r="F40" s="7">
        <v>16.37</v>
      </c>
      <c r="G40" s="7">
        <f t="shared" si="1"/>
        <v>11.63231</v>
      </c>
      <c r="H40" t="s">
        <v>697</v>
      </c>
      <c r="J40" s="7">
        <f>D40+8.5</f>
        <v>339.14</v>
      </c>
      <c r="K40">
        <f t="shared" si="0"/>
        <v>339.14</v>
      </c>
    </row>
    <row r="41" spans="1:11" x14ac:dyDescent="0.15">
      <c r="A41" s="6">
        <v>39</v>
      </c>
      <c r="B41" t="s">
        <v>56</v>
      </c>
      <c r="C41" t="s">
        <v>23</v>
      </c>
      <c r="D41" s="7">
        <v>356.53</v>
      </c>
      <c r="E41" s="7">
        <v>356.53</v>
      </c>
      <c r="F41" s="7">
        <v>0.65</v>
      </c>
      <c r="G41" s="7">
        <f t="shared" si="1"/>
        <v>11.98884</v>
      </c>
      <c r="H41" t="s">
        <v>697</v>
      </c>
      <c r="K41">
        <f t="shared" si="0"/>
        <v>356.53</v>
      </c>
    </row>
    <row r="42" spans="1:11" x14ac:dyDescent="0.15">
      <c r="A42" s="6">
        <v>40</v>
      </c>
      <c r="B42" t="s">
        <v>57</v>
      </c>
      <c r="C42" t="s">
        <v>23</v>
      </c>
      <c r="D42" s="7">
        <v>250.34</v>
      </c>
      <c r="E42" s="7">
        <v>250.34</v>
      </c>
      <c r="F42" s="7">
        <v>0.47</v>
      </c>
      <c r="G42" s="7">
        <f t="shared" si="1"/>
        <v>12.239179999999999</v>
      </c>
      <c r="H42" t="s">
        <v>697</v>
      </c>
      <c r="K42">
        <f t="shared" si="0"/>
        <v>250.34</v>
      </c>
    </row>
    <row r="43" spans="1:11" x14ac:dyDescent="0.15">
      <c r="A43" s="6">
        <v>41</v>
      </c>
      <c r="B43" t="s">
        <v>58</v>
      </c>
      <c r="C43" t="s">
        <v>23</v>
      </c>
      <c r="D43" s="7">
        <v>306.27</v>
      </c>
      <c r="E43" s="7">
        <v>306.27</v>
      </c>
      <c r="F43" s="7">
        <v>2.37</v>
      </c>
      <c r="G43" s="7">
        <f t="shared" si="1"/>
        <v>12.545449999999999</v>
      </c>
      <c r="H43" t="s">
        <v>697</v>
      </c>
      <c r="K43">
        <f t="shared" si="0"/>
        <v>306.27</v>
      </c>
    </row>
    <row r="44" spans="1:11" x14ac:dyDescent="0.15">
      <c r="A44" s="6">
        <v>42</v>
      </c>
      <c r="B44" t="s">
        <v>59</v>
      </c>
      <c r="C44" t="s">
        <v>23</v>
      </c>
      <c r="D44" s="7">
        <v>311.47000000000003</v>
      </c>
      <c r="E44" s="7">
        <v>311.47000000000003</v>
      </c>
      <c r="F44" s="7">
        <v>2.2599999999999998</v>
      </c>
      <c r="G44" s="7">
        <f t="shared" si="1"/>
        <v>12.856919999999999</v>
      </c>
      <c r="H44" t="s">
        <v>697</v>
      </c>
      <c r="K44">
        <f t="shared" si="0"/>
        <v>311.47000000000003</v>
      </c>
    </row>
    <row r="45" spans="1:11" x14ac:dyDescent="0.15">
      <c r="A45" s="6">
        <v>43</v>
      </c>
      <c r="B45" t="s">
        <v>60</v>
      </c>
      <c r="C45" t="s">
        <v>23</v>
      </c>
      <c r="D45" s="7">
        <v>295.92</v>
      </c>
      <c r="E45" s="7">
        <v>295.92</v>
      </c>
      <c r="F45" s="7">
        <v>0.94</v>
      </c>
      <c r="G45" s="7">
        <f t="shared" si="1"/>
        <v>13.152839999999999</v>
      </c>
      <c r="H45" t="s">
        <v>697</v>
      </c>
      <c r="K45">
        <f t="shared" si="0"/>
        <v>295.92</v>
      </c>
    </row>
    <row r="46" spans="1:11" x14ac:dyDescent="0.15">
      <c r="A46" s="6">
        <v>44</v>
      </c>
      <c r="B46" t="s">
        <v>61</v>
      </c>
      <c r="C46" t="s">
        <v>23</v>
      </c>
      <c r="D46" s="7">
        <v>359.2</v>
      </c>
      <c r="E46" s="7">
        <v>359.2</v>
      </c>
      <c r="F46" s="7">
        <v>1.02</v>
      </c>
      <c r="G46" s="7">
        <f t="shared" si="1"/>
        <v>13.512039999999999</v>
      </c>
      <c r="H46" t="s">
        <v>697</v>
      </c>
      <c r="K46">
        <f t="shared" si="0"/>
        <v>359.2</v>
      </c>
    </row>
    <row r="47" spans="1:11" x14ac:dyDescent="0.15">
      <c r="A47" s="6">
        <v>45</v>
      </c>
      <c r="B47" t="s">
        <v>62</v>
      </c>
      <c r="C47" t="s">
        <v>23</v>
      </c>
      <c r="D47" s="7">
        <v>339.96</v>
      </c>
      <c r="E47" s="7">
        <v>339.96</v>
      </c>
      <c r="F47" s="7">
        <v>0.78</v>
      </c>
      <c r="G47" s="7">
        <f t="shared" si="1"/>
        <v>13.851999999999999</v>
      </c>
      <c r="H47" t="s">
        <v>697</v>
      </c>
      <c r="K47">
        <f t="shared" si="0"/>
        <v>339.96</v>
      </c>
    </row>
    <row r="48" spans="1:11" x14ac:dyDescent="0.15">
      <c r="A48" s="6">
        <v>46</v>
      </c>
      <c r="B48" t="s">
        <v>63</v>
      </c>
      <c r="C48" t="s">
        <v>23</v>
      </c>
      <c r="D48" s="7">
        <v>340.51</v>
      </c>
      <c r="E48" s="7">
        <v>340.51</v>
      </c>
      <c r="F48" s="7">
        <v>0.18</v>
      </c>
      <c r="G48" s="7">
        <f t="shared" si="1"/>
        <v>14.192509999999999</v>
      </c>
      <c r="H48" t="s">
        <v>697</v>
      </c>
      <c r="K48">
        <f t="shared" si="0"/>
        <v>340.51</v>
      </c>
    </row>
    <row r="49" spans="1:11" x14ac:dyDescent="0.15">
      <c r="A49" s="6">
        <v>47</v>
      </c>
      <c r="B49" t="s">
        <v>64</v>
      </c>
      <c r="C49" t="s">
        <v>28</v>
      </c>
      <c r="D49" s="7">
        <v>345.25</v>
      </c>
      <c r="E49" s="7">
        <v>353.75</v>
      </c>
      <c r="F49" s="7">
        <v>5.46</v>
      </c>
      <c r="G49" s="7">
        <f t="shared" si="1"/>
        <v>14.546259999999998</v>
      </c>
      <c r="H49" t="s">
        <v>697</v>
      </c>
      <c r="J49" s="7">
        <f>D49+8.5</f>
        <v>353.75</v>
      </c>
      <c r="K49">
        <f t="shared" si="0"/>
        <v>353.75</v>
      </c>
    </row>
    <row r="50" spans="1:11" x14ac:dyDescent="0.15">
      <c r="A50" s="6">
        <v>48</v>
      </c>
      <c r="B50" t="s">
        <v>65</v>
      </c>
      <c r="C50" t="s">
        <v>23</v>
      </c>
      <c r="D50" s="7">
        <v>353.21</v>
      </c>
      <c r="E50" s="7">
        <v>353.21</v>
      </c>
      <c r="F50" s="7">
        <v>0.5</v>
      </c>
      <c r="G50" s="7">
        <f t="shared" si="1"/>
        <v>14.899469999999999</v>
      </c>
      <c r="H50" t="s">
        <v>697</v>
      </c>
      <c r="K50">
        <f t="shared" si="0"/>
        <v>353.21</v>
      </c>
    </row>
    <row r="51" spans="1:11" x14ac:dyDescent="0.15">
      <c r="A51" s="6">
        <v>49</v>
      </c>
      <c r="B51" t="s">
        <v>66</v>
      </c>
      <c r="C51" t="s">
        <v>23</v>
      </c>
      <c r="D51" s="7">
        <v>281.23</v>
      </c>
      <c r="E51" s="7">
        <v>281.23</v>
      </c>
      <c r="F51" s="7">
        <v>0.64</v>
      </c>
      <c r="G51" s="7">
        <f t="shared" si="1"/>
        <v>15.1807</v>
      </c>
      <c r="H51" t="s">
        <v>697</v>
      </c>
      <c r="K51">
        <f t="shared" si="0"/>
        <v>281.23</v>
      </c>
    </row>
    <row r="52" spans="1:11" x14ac:dyDescent="0.15">
      <c r="A52" s="6">
        <v>50</v>
      </c>
      <c r="B52" t="s">
        <v>67</v>
      </c>
      <c r="C52" t="s">
        <v>23</v>
      </c>
      <c r="D52" s="7">
        <v>355.96</v>
      </c>
      <c r="E52" s="7">
        <v>355.96</v>
      </c>
      <c r="F52" s="7">
        <v>0.61</v>
      </c>
      <c r="G52" s="7">
        <f t="shared" si="1"/>
        <v>15.536659999999999</v>
      </c>
      <c r="H52" t="s">
        <v>697</v>
      </c>
      <c r="K52">
        <f t="shared" si="0"/>
        <v>355.96</v>
      </c>
    </row>
    <row r="53" spans="1:11" x14ac:dyDescent="0.15">
      <c r="A53" s="6">
        <v>51</v>
      </c>
      <c r="B53" t="s">
        <v>68</v>
      </c>
      <c r="C53" t="s">
        <v>23</v>
      </c>
      <c r="D53" s="7">
        <v>358.79</v>
      </c>
      <c r="E53" s="7">
        <v>358.79</v>
      </c>
      <c r="F53" s="7">
        <v>0.18</v>
      </c>
      <c r="G53" s="7">
        <f t="shared" si="1"/>
        <v>15.89545</v>
      </c>
      <c r="H53" t="s">
        <v>697</v>
      </c>
      <c r="K53">
        <f t="shared" si="0"/>
        <v>358.79</v>
      </c>
    </row>
    <row r="54" spans="1:11" x14ac:dyDescent="0.15">
      <c r="A54" s="6">
        <v>52</v>
      </c>
      <c r="B54" t="s">
        <v>69</v>
      </c>
      <c r="C54" t="s">
        <v>23</v>
      </c>
      <c r="D54" s="7">
        <v>299.77</v>
      </c>
      <c r="E54" s="7">
        <v>299.77</v>
      </c>
      <c r="F54" s="7">
        <v>1.63</v>
      </c>
      <c r="G54" s="7">
        <f t="shared" si="1"/>
        <v>16.195219999999999</v>
      </c>
      <c r="H54" t="s">
        <v>697</v>
      </c>
      <c r="K54">
        <f t="shared" si="0"/>
        <v>299.77</v>
      </c>
    </row>
    <row r="55" spans="1:11" x14ac:dyDescent="0.15">
      <c r="A55" s="6">
        <v>53</v>
      </c>
      <c r="B55" t="s">
        <v>70</v>
      </c>
      <c r="C55" t="s">
        <v>23</v>
      </c>
      <c r="D55" s="7">
        <v>351.42</v>
      </c>
      <c r="E55" s="7">
        <v>351.42</v>
      </c>
      <c r="F55" s="7">
        <v>3.49</v>
      </c>
      <c r="G55" s="7">
        <f t="shared" si="1"/>
        <v>16.54664</v>
      </c>
      <c r="H55" t="s">
        <v>697</v>
      </c>
      <c r="K55">
        <f t="shared" si="0"/>
        <v>351.42</v>
      </c>
    </row>
    <row r="56" spans="1:11" x14ac:dyDescent="0.15">
      <c r="A56" s="6">
        <v>54</v>
      </c>
      <c r="B56" t="s">
        <v>71</v>
      </c>
      <c r="C56" t="s">
        <v>23</v>
      </c>
      <c r="D56" s="7">
        <v>341.45</v>
      </c>
      <c r="E56" s="7">
        <v>341.45</v>
      </c>
      <c r="F56" s="7">
        <v>3.24</v>
      </c>
      <c r="G56" s="7">
        <f t="shared" si="1"/>
        <v>16.888089999999998</v>
      </c>
      <c r="H56" t="s">
        <v>697</v>
      </c>
      <c r="K56">
        <f t="shared" si="0"/>
        <v>341.45</v>
      </c>
    </row>
    <row r="57" spans="1:11" x14ac:dyDescent="0.15">
      <c r="A57" s="6">
        <v>55</v>
      </c>
      <c r="B57" t="s">
        <v>72</v>
      </c>
      <c r="C57" t="s">
        <v>23</v>
      </c>
      <c r="D57" s="7">
        <v>294.23</v>
      </c>
      <c r="E57" s="7">
        <v>294.23</v>
      </c>
      <c r="F57" s="7">
        <v>1.27</v>
      </c>
      <c r="G57" s="7">
        <f t="shared" si="1"/>
        <v>17.182319999999997</v>
      </c>
      <c r="H57" t="s">
        <v>697</v>
      </c>
      <c r="K57">
        <f t="shared" si="0"/>
        <v>294.23</v>
      </c>
    </row>
    <row r="58" spans="1:11" x14ac:dyDescent="0.15">
      <c r="A58" s="6">
        <v>56</v>
      </c>
      <c r="B58" t="s">
        <v>73</v>
      </c>
      <c r="C58" t="s">
        <v>23</v>
      </c>
      <c r="D58" s="7">
        <v>325.77999999999997</v>
      </c>
      <c r="E58" s="7">
        <v>325.77999999999997</v>
      </c>
      <c r="F58" s="7">
        <v>1.55</v>
      </c>
      <c r="G58" s="7">
        <f t="shared" si="1"/>
        <v>17.508099999999999</v>
      </c>
      <c r="H58" t="s">
        <v>697</v>
      </c>
      <c r="K58">
        <f t="shared" si="0"/>
        <v>325.77999999999997</v>
      </c>
    </row>
    <row r="59" spans="1:11" x14ac:dyDescent="0.15">
      <c r="A59" s="6">
        <v>57</v>
      </c>
      <c r="B59" t="s">
        <v>74</v>
      </c>
      <c r="C59" t="s">
        <v>28</v>
      </c>
      <c r="D59" s="7">
        <v>221.53</v>
      </c>
      <c r="E59" s="7">
        <v>230.03</v>
      </c>
      <c r="F59" s="7">
        <v>7.87</v>
      </c>
      <c r="G59" s="7">
        <f t="shared" si="1"/>
        <v>17.738129999999998</v>
      </c>
      <c r="H59" t="s">
        <v>697</v>
      </c>
      <c r="J59" s="7">
        <f>D59+8.5</f>
        <v>230.03</v>
      </c>
      <c r="K59">
        <f t="shared" si="0"/>
        <v>230.03</v>
      </c>
    </row>
    <row r="60" spans="1:11" x14ac:dyDescent="0.15">
      <c r="A60" s="6">
        <v>58</v>
      </c>
      <c r="B60" t="s">
        <v>75</v>
      </c>
      <c r="C60" t="s">
        <v>23</v>
      </c>
      <c r="D60" s="7">
        <v>189.48</v>
      </c>
      <c r="E60" s="7">
        <v>189.48</v>
      </c>
      <c r="F60" s="7">
        <v>7.24</v>
      </c>
      <c r="G60" s="7">
        <f t="shared" si="1"/>
        <v>17.927609999999998</v>
      </c>
      <c r="H60" t="s">
        <v>697</v>
      </c>
      <c r="K60">
        <f t="shared" si="0"/>
        <v>189.48</v>
      </c>
    </row>
    <row r="61" spans="1:11" x14ac:dyDescent="0.15">
      <c r="A61" s="6">
        <v>59</v>
      </c>
      <c r="B61" t="s">
        <v>76</v>
      </c>
      <c r="C61" t="s">
        <v>19</v>
      </c>
      <c r="D61" s="7">
        <v>171.81</v>
      </c>
      <c r="E61" s="7">
        <v>180.31</v>
      </c>
      <c r="F61" s="7">
        <v>28.14</v>
      </c>
      <c r="G61" s="7">
        <f t="shared" si="1"/>
        <v>18.107919999999996</v>
      </c>
      <c r="H61" t="s">
        <v>697</v>
      </c>
      <c r="J61" s="7">
        <f t="shared" ref="J61:J63" si="4">D61+8.5</f>
        <v>180.31</v>
      </c>
      <c r="K61">
        <f t="shared" si="0"/>
        <v>180.31</v>
      </c>
    </row>
    <row r="62" spans="1:11" x14ac:dyDescent="0.15">
      <c r="A62" s="6">
        <v>60</v>
      </c>
      <c r="B62" t="s">
        <v>77</v>
      </c>
      <c r="C62" t="s">
        <v>19</v>
      </c>
      <c r="D62" s="7">
        <v>99.51</v>
      </c>
      <c r="E62" s="7">
        <v>108.01</v>
      </c>
      <c r="F62" s="7">
        <v>45.15</v>
      </c>
      <c r="G62" s="7">
        <f t="shared" si="1"/>
        <v>18.215929999999997</v>
      </c>
      <c r="H62" t="s">
        <v>697</v>
      </c>
      <c r="J62" s="7">
        <f t="shared" si="4"/>
        <v>108.01</v>
      </c>
      <c r="K62">
        <f t="shared" si="0"/>
        <v>108.01</v>
      </c>
    </row>
    <row r="63" spans="1:11" x14ac:dyDescent="0.15">
      <c r="A63" s="6">
        <v>61</v>
      </c>
      <c r="B63" t="s">
        <v>78</v>
      </c>
      <c r="C63" t="s">
        <v>19</v>
      </c>
      <c r="D63" s="7">
        <v>215.54</v>
      </c>
      <c r="E63" s="7">
        <v>224.04</v>
      </c>
      <c r="F63" s="7">
        <v>16.7</v>
      </c>
      <c r="G63" s="7">
        <f t="shared" si="1"/>
        <v>18.439969999999995</v>
      </c>
      <c r="H63" t="s">
        <v>697</v>
      </c>
      <c r="J63" s="7">
        <f t="shared" si="4"/>
        <v>224.04</v>
      </c>
      <c r="K63">
        <f t="shared" si="0"/>
        <v>224.04</v>
      </c>
    </row>
    <row r="64" spans="1:11" x14ac:dyDescent="0.15">
      <c r="A64" s="6">
        <v>62</v>
      </c>
      <c r="B64" t="s">
        <v>79</v>
      </c>
      <c r="C64" t="s">
        <v>23</v>
      </c>
      <c r="D64" s="7">
        <v>217.65</v>
      </c>
      <c r="E64" s="7">
        <v>217.65</v>
      </c>
      <c r="F64" s="7">
        <v>3.19</v>
      </c>
      <c r="G64" s="7">
        <f t="shared" si="1"/>
        <v>18.657619999999994</v>
      </c>
      <c r="H64" t="s">
        <v>697</v>
      </c>
      <c r="K64">
        <f t="shared" si="0"/>
        <v>217.65</v>
      </c>
    </row>
    <row r="65" spans="1:11" x14ac:dyDescent="0.15">
      <c r="A65" s="6">
        <v>63</v>
      </c>
      <c r="B65" t="s">
        <v>80</v>
      </c>
      <c r="C65" t="s">
        <v>28</v>
      </c>
      <c r="D65" s="7">
        <v>305.14</v>
      </c>
      <c r="E65" s="7">
        <v>313.64</v>
      </c>
      <c r="F65" s="7">
        <v>15.87</v>
      </c>
      <c r="G65" s="7">
        <f t="shared" si="1"/>
        <v>18.971259999999994</v>
      </c>
      <c r="H65" t="s">
        <v>697</v>
      </c>
      <c r="J65" s="7">
        <f>D65+8.5</f>
        <v>313.64</v>
      </c>
      <c r="K65">
        <f t="shared" si="0"/>
        <v>313.64</v>
      </c>
    </row>
    <row r="66" spans="1:11" x14ac:dyDescent="0.15">
      <c r="A66" s="6">
        <v>64</v>
      </c>
      <c r="B66" t="s">
        <v>81</v>
      </c>
      <c r="C66" t="s">
        <v>23</v>
      </c>
      <c r="D66" s="7">
        <v>321.76</v>
      </c>
      <c r="E66" s="7">
        <v>321.76</v>
      </c>
      <c r="F66" s="7">
        <v>3.62</v>
      </c>
      <c r="G66" s="7">
        <f t="shared" si="1"/>
        <v>19.293019999999995</v>
      </c>
      <c r="H66" t="s">
        <v>697</v>
      </c>
      <c r="K66">
        <f t="shared" si="0"/>
        <v>321.76</v>
      </c>
    </row>
    <row r="67" spans="1:11" x14ac:dyDescent="0.15">
      <c r="A67" s="6">
        <v>65</v>
      </c>
      <c r="B67" t="s">
        <v>82</v>
      </c>
      <c r="C67" t="s">
        <v>23</v>
      </c>
      <c r="D67" s="7">
        <v>328.44</v>
      </c>
      <c r="E67" s="7">
        <v>328.44</v>
      </c>
      <c r="F67" s="7">
        <v>2.33</v>
      </c>
      <c r="G67" s="7">
        <f t="shared" si="1"/>
        <v>19.621459999999995</v>
      </c>
      <c r="H67" t="s">
        <v>697</v>
      </c>
      <c r="K67">
        <f t="shared" ref="K67:K130" si="5">IF(J67&lt;&gt;"",J67,D67)</f>
        <v>328.44</v>
      </c>
    </row>
    <row r="68" spans="1:11" x14ac:dyDescent="0.15">
      <c r="A68" s="6">
        <v>66</v>
      </c>
      <c r="B68" t="s">
        <v>83</v>
      </c>
      <c r="C68" t="s">
        <v>28</v>
      </c>
      <c r="D68" s="7">
        <v>198.29</v>
      </c>
      <c r="E68" s="7">
        <v>206.79</v>
      </c>
      <c r="F68" s="7">
        <v>11.42</v>
      </c>
      <c r="G68" s="7">
        <f t="shared" ref="G68:G131" si="6">G67+E68/1000</f>
        <v>19.828249999999997</v>
      </c>
      <c r="H68" t="s">
        <v>697</v>
      </c>
      <c r="J68" s="7">
        <f>D68+8.5</f>
        <v>206.79</v>
      </c>
      <c r="K68">
        <f t="shared" si="5"/>
        <v>206.79</v>
      </c>
    </row>
    <row r="69" spans="1:11" x14ac:dyDescent="0.15">
      <c r="A69" s="6">
        <v>67</v>
      </c>
      <c r="B69" t="s">
        <v>84</v>
      </c>
      <c r="C69" t="s">
        <v>23</v>
      </c>
      <c r="D69" s="7">
        <v>276.38</v>
      </c>
      <c r="E69" s="7">
        <v>276.38</v>
      </c>
      <c r="F69" s="7">
        <v>2.63</v>
      </c>
      <c r="G69" s="7">
        <f t="shared" si="6"/>
        <v>20.104629999999997</v>
      </c>
      <c r="H69" t="s">
        <v>697</v>
      </c>
      <c r="K69">
        <f t="shared" si="5"/>
        <v>276.38</v>
      </c>
    </row>
    <row r="70" spans="1:11" x14ac:dyDescent="0.15">
      <c r="A70" s="6">
        <v>68</v>
      </c>
      <c r="B70" t="s">
        <v>85</v>
      </c>
      <c r="C70" t="s">
        <v>23</v>
      </c>
      <c r="D70" s="7">
        <v>301.81</v>
      </c>
      <c r="E70" s="7">
        <v>301.81</v>
      </c>
      <c r="F70" s="7">
        <v>0.63</v>
      </c>
      <c r="G70" s="7">
        <f t="shared" si="6"/>
        <v>20.406439999999996</v>
      </c>
      <c r="H70" t="s">
        <v>697</v>
      </c>
      <c r="K70">
        <f t="shared" si="5"/>
        <v>301.81</v>
      </c>
    </row>
    <row r="71" spans="1:11" x14ac:dyDescent="0.15">
      <c r="A71" s="6">
        <v>69</v>
      </c>
      <c r="B71" t="s">
        <v>86</v>
      </c>
      <c r="C71" t="s">
        <v>23</v>
      </c>
      <c r="D71" s="7">
        <v>352.15</v>
      </c>
      <c r="E71" s="7">
        <v>352.15</v>
      </c>
      <c r="F71" s="7">
        <v>0.25</v>
      </c>
      <c r="G71" s="7">
        <f t="shared" si="6"/>
        <v>20.758589999999998</v>
      </c>
      <c r="H71" t="s">
        <v>697</v>
      </c>
      <c r="K71">
        <f t="shared" si="5"/>
        <v>352.15</v>
      </c>
    </row>
    <row r="72" spans="1:11" x14ac:dyDescent="0.15">
      <c r="A72" s="6">
        <v>70</v>
      </c>
      <c r="B72" t="s">
        <v>87</v>
      </c>
      <c r="C72" t="s">
        <v>23</v>
      </c>
      <c r="D72" s="7">
        <v>357.9</v>
      </c>
      <c r="E72" s="7">
        <v>357.9</v>
      </c>
      <c r="F72" s="7">
        <v>2.98</v>
      </c>
      <c r="G72" s="7">
        <f t="shared" si="6"/>
        <v>21.116489999999999</v>
      </c>
      <c r="H72" t="s">
        <v>697</v>
      </c>
      <c r="K72">
        <f t="shared" si="5"/>
        <v>357.9</v>
      </c>
    </row>
    <row r="73" spans="1:11" x14ac:dyDescent="0.15">
      <c r="A73" s="6">
        <v>71</v>
      </c>
      <c r="B73" t="s">
        <v>88</v>
      </c>
      <c r="C73" t="s">
        <v>23</v>
      </c>
      <c r="D73" s="7">
        <v>294.77</v>
      </c>
      <c r="E73" s="7">
        <v>294.77</v>
      </c>
      <c r="F73" s="7">
        <v>9.61</v>
      </c>
      <c r="G73" s="7">
        <f t="shared" si="6"/>
        <v>21.411259999999999</v>
      </c>
      <c r="H73" t="s">
        <v>697</v>
      </c>
      <c r="K73">
        <f t="shared" si="5"/>
        <v>294.77</v>
      </c>
    </row>
    <row r="74" spans="1:11" x14ac:dyDescent="0.15">
      <c r="A74" s="6">
        <v>72</v>
      </c>
      <c r="B74" t="s">
        <v>89</v>
      </c>
      <c r="C74" t="s">
        <v>23</v>
      </c>
      <c r="D74" s="7">
        <v>370.52</v>
      </c>
      <c r="E74" s="7">
        <v>370.52</v>
      </c>
      <c r="F74" s="7">
        <v>7.1</v>
      </c>
      <c r="G74" s="7">
        <f t="shared" si="6"/>
        <v>21.781779999999998</v>
      </c>
      <c r="H74" t="s">
        <v>697</v>
      </c>
      <c r="K74">
        <f t="shared" si="5"/>
        <v>370.52</v>
      </c>
    </row>
    <row r="75" spans="1:11" x14ac:dyDescent="0.15">
      <c r="A75" s="6">
        <v>73</v>
      </c>
      <c r="B75" t="s">
        <v>90</v>
      </c>
      <c r="C75" t="s">
        <v>23</v>
      </c>
      <c r="D75" s="7">
        <v>327.85</v>
      </c>
      <c r="E75" s="7">
        <v>327.85</v>
      </c>
      <c r="F75" s="7">
        <v>0.77</v>
      </c>
      <c r="G75" s="7">
        <f t="shared" si="6"/>
        <v>22.109629999999999</v>
      </c>
      <c r="H75" t="s">
        <v>697</v>
      </c>
      <c r="K75">
        <f t="shared" si="5"/>
        <v>327.85</v>
      </c>
    </row>
    <row r="76" spans="1:11" x14ac:dyDescent="0.15">
      <c r="A76" s="6">
        <v>74</v>
      </c>
      <c r="B76" t="s">
        <v>91</v>
      </c>
      <c r="C76" t="s">
        <v>23</v>
      </c>
      <c r="D76" s="7">
        <v>276.17</v>
      </c>
      <c r="E76" s="7">
        <v>276.17</v>
      </c>
      <c r="F76" s="7">
        <v>2.8</v>
      </c>
      <c r="G76" s="7">
        <f t="shared" si="6"/>
        <v>22.3858</v>
      </c>
      <c r="H76" t="s">
        <v>697</v>
      </c>
      <c r="K76">
        <f t="shared" si="5"/>
        <v>276.17</v>
      </c>
    </row>
    <row r="77" spans="1:11" x14ac:dyDescent="0.15">
      <c r="A77" s="6">
        <v>75</v>
      </c>
      <c r="B77" t="s">
        <v>92</v>
      </c>
      <c r="C77" t="s">
        <v>23</v>
      </c>
      <c r="D77" s="7">
        <v>411.75</v>
      </c>
      <c r="E77" s="7">
        <v>411.75</v>
      </c>
      <c r="F77" s="7">
        <v>1.57</v>
      </c>
      <c r="G77" s="7">
        <f t="shared" si="6"/>
        <v>22.797550000000001</v>
      </c>
      <c r="H77" t="s">
        <v>697</v>
      </c>
      <c r="K77">
        <f t="shared" si="5"/>
        <v>411.75</v>
      </c>
    </row>
    <row r="78" spans="1:11" x14ac:dyDescent="0.15">
      <c r="A78" s="6">
        <v>76</v>
      </c>
      <c r="B78" t="s">
        <v>695</v>
      </c>
      <c r="C78" t="s">
        <v>28</v>
      </c>
      <c r="D78" s="7">
        <v>348.52</v>
      </c>
      <c r="E78" s="7">
        <v>357.02</v>
      </c>
      <c r="F78" s="7">
        <v>20.440000000000001</v>
      </c>
      <c r="G78" s="7">
        <f t="shared" si="6"/>
        <v>23.15457</v>
      </c>
      <c r="H78" t="s">
        <v>697</v>
      </c>
      <c r="J78" s="7">
        <f>D78+8.5</f>
        <v>357.02</v>
      </c>
      <c r="K78">
        <f t="shared" si="5"/>
        <v>357.02</v>
      </c>
    </row>
    <row r="79" spans="1:11" x14ac:dyDescent="0.15">
      <c r="A79" s="6">
        <v>77</v>
      </c>
      <c r="B79" t="s">
        <v>696</v>
      </c>
      <c r="C79" t="s">
        <v>23</v>
      </c>
      <c r="D79" s="7">
        <v>308.02999999999997</v>
      </c>
      <c r="E79" s="7">
        <v>308.02999999999997</v>
      </c>
      <c r="F79" s="7">
        <v>0.14000000000000001</v>
      </c>
      <c r="G79" s="7">
        <f t="shared" si="6"/>
        <v>23.462599999999998</v>
      </c>
      <c r="H79" t="s">
        <v>697</v>
      </c>
      <c r="K79">
        <f t="shared" si="5"/>
        <v>308.02999999999997</v>
      </c>
    </row>
    <row r="80" spans="1:11" x14ac:dyDescent="0.15">
      <c r="A80" s="6">
        <v>78</v>
      </c>
      <c r="B80" t="s">
        <v>95</v>
      </c>
      <c r="C80" t="s">
        <v>23</v>
      </c>
      <c r="D80" s="7">
        <v>277.45</v>
      </c>
      <c r="E80" s="7">
        <v>277.45</v>
      </c>
      <c r="F80" s="7">
        <v>1.69</v>
      </c>
      <c r="G80" s="7">
        <f t="shared" si="6"/>
        <v>23.740049999999997</v>
      </c>
      <c r="H80" t="s">
        <v>697</v>
      </c>
      <c r="K80">
        <f t="shared" si="5"/>
        <v>277.45</v>
      </c>
    </row>
    <row r="81" spans="1:11" x14ac:dyDescent="0.15">
      <c r="A81" s="6">
        <v>79</v>
      </c>
      <c r="B81" t="s">
        <v>96</v>
      </c>
      <c r="C81" t="s">
        <v>23</v>
      </c>
      <c r="D81" s="7">
        <v>180.61</v>
      </c>
      <c r="E81" s="7">
        <v>180.61</v>
      </c>
      <c r="F81" s="7">
        <v>1.02</v>
      </c>
      <c r="G81" s="7">
        <f t="shared" si="6"/>
        <v>23.920659999999998</v>
      </c>
      <c r="H81" t="s">
        <v>697</v>
      </c>
      <c r="K81">
        <f t="shared" si="5"/>
        <v>180.61</v>
      </c>
    </row>
    <row r="82" spans="1:11" x14ac:dyDescent="0.15">
      <c r="A82" s="6">
        <v>80</v>
      </c>
      <c r="B82" t="s">
        <v>97</v>
      </c>
      <c r="C82" t="s">
        <v>28</v>
      </c>
      <c r="D82" s="7">
        <v>232.99</v>
      </c>
      <c r="E82" s="7">
        <v>241.49</v>
      </c>
      <c r="F82" s="7">
        <v>26.05</v>
      </c>
      <c r="G82" s="7">
        <f t="shared" si="6"/>
        <v>24.162149999999997</v>
      </c>
      <c r="H82" t="s">
        <v>697</v>
      </c>
      <c r="J82" s="7">
        <f>D82+8.5</f>
        <v>241.49</v>
      </c>
      <c r="K82">
        <f t="shared" si="5"/>
        <v>241.49</v>
      </c>
    </row>
    <row r="83" spans="1:11" x14ac:dyDescent="0.15">
      <c r="A83" s="6">
        <v>81</v>
      </c>
      <c r="B83" t="s">
        <v>98</v>
      </c>
      <c r="C83" t="s">
        <v>23</v>
      </c>
      <c r="D83" s="7">
        <v>356.39</v>
      </c>
      <c r="E83" s="7">
        <v>356.39</v>
      </c>
      <c r="F83" s="7">
        <v>0.3</v>
      </c>
      <c r="G83" s="7">
        <f t="shared" si="6"/>
        <v>24.518539999999998</v>
      </c>
      <c r="H83" t="s">
        <v>697</v>
      </c>
      <c r="K83">
        <f t="shared" si="5"/>
        <v>356.39</v>
      </c>
    </row>
    <row r="84" spans="1:11" x14ac:dyDescent="0.15">
      <c r="A84" s="6">
        <v>82</v>
      </c>
      <c r="B84" t="s">
        <v>99</v>
      </c>
      <c r="C84" t="s">
        <v>23</v>
      </c>
      <c r="D84" s="7">
        <v>280.93</v>
      </c>
      <c r="E84" s="7">
        <v>280.93</v>
      </c>
      <c r="F84" s="7">
        <v>1.44</v>
      </c>
      <c r="G84" s="7">
        <f t="shared" si="6"/>
        <v>24.799469999999999</v>
      </c>
      <c r="H84" t="s">
        <v>697</v>
      </c>
      <c r="K84">
        <f t="shared" si="5"/>
        <v>280.93</v>
      </c>
    </row>
    <row r="85" spans="1:11" x14ac:dyDescent="0.15">
      <c r="A85" s="6">
        <v>83</v>
      </c>
      <c r="B85" t="s">
        <v>100</v>
      </c>
      <c r="C85" t="s">
        <v>23</v>
      </c>
      <c r="D85" s="7">
        <v>273.07</v>
      </c>
      <c r="E85" s="7">
        <v>273.07</v>
      </c>
      <c r="F85" s="7">
        <v>0.53</v>
      </c>
      <c r="G85" s="7">
        <f t="shared" si="6"/>
        <v>25.07254</v>
      </c>
      <c r="H85" t="s">
        <v>697</v>
      </c>
      <c r="K85">
        <f t="shared" si="5"/>
        <v>273.07</v>
      </c>
    </row>
    <row r="86" spans="1:11" x14ac:dyDescent="0.15">
      <c r="A86" s="6">
        <v>84</v>
      </c>
      <c r="B86" t="s">
        <v>101</v>
      </c>
      <c r="C86" t="s">
        <v>23</v>
      </c>
      <c r="D86" s="7">
        <v>293.49</v>
      </c>
      <c r="E86" s="7">
        <v>293.49</v>
      </c>
      <c r="F86" s="7">
        <v>0.59</v>
      </c>
      <c r="G86" s="7">
        <f t="shared" si="6"/>
        <v>25.366029999999999</v>
      </c>
      <c r="H86" t="s">
        <v>697</v>
      </c>
      <c r="K86">
        <f t="shared" si="5"/>
        <v>293.49</v>
      </c>
    </row>
    <row r="87" spans="1:11" x14ac:dyDescent="0.15">
      <c r="A87" s="6">
        <v>85</v>
      </c>
      <c r="B87" t="s">
        <v>102</v>
      </c>
      <c r="C87" t="s">
        <v>19</v>
      </c>
      <c r="D87" s="7">
        <v>238.57</v>
      </c>
      <c r="E87" s="7">
        <v>247.07</v>
      </c>
      <c r="F87" s="7">
        <v>14.94</v>
      </c>
      <c r="G87" s="7">
        <f t="shared" si="6"/>
        <v>25.613099999999999</v>
      </c>
      <c r="H87" t="s">
        <v>697</v>
      </c>
      <c r="J87" s="7">
        <f>D87+8.5</f>
        <v>247.07</v>
      </c>
      <c r="K87">
        <f t="shared" si="5"/>
        <v>247.07</v>
      </c>
    </row>
    <row r="88" spans="1:11" x14ac:dyDescent="0.15">
      <c r="A88" s="6">
        <v>86</v>
      </c>
      <c r="B88" t="s">
        <v>103</v>
      </c>
      <c r="C88" t="s">
        <v>23</v>
      </c>
      <c r="D88" s="7">
        <v>299.3</v>
      </c>
      <c r="E88" s="7">
        <v>299.3</v>
      </c>
      <c r="F88" s="7">
        <v>1.36</v>
      </c>
      <c r="G88" s="7">
        <f t="shared" si="6"/>
        <v>25.912399999999998</v>
      </c>
      <c r="H88" t="s">
        <v>697</v>
      </c>
      <c r="K88">
        <f t="shared" si="5"/>
        <v>299.3</v>
      </c>
    </row>
    <row r="89" spans="1:11" x14ac:dyDescent="0.15">
      <c r="A89" s="6">
        <v>87</v>
      </c>
      <c r="B89" t="s">
        <v>104</v>
      </c>
      <c r="C89" t="s">
        <v>23</v>
      </c>
      <c r="D89" s="7">
        <v>361.1</v>
      </c>
      <c r="E89" s="7">
        <v>361.1</v>
      </c>
      <c r="F89" s="7">
        <v>1.41</v>
      </c>
      <c r="G89" s="7">
        <f t="shared" si="6"/>
        <v>26.273499999999999</v>
      </c>
      <c r="H89" t="s">
        <v>697</v>
      </c>
      <c r="K89">
        <f t="shared" si="5"/>
        <v>361.1</v>
      </c>
    </row>
    <row r="90" spans="1:11" x14ac:dyDescent="0.15">
      <c r="A90" s="6">
        <v>88</v>
      </c>
      <c r="B90" t="s">
        <v>105</v>
      </c>
      <c r="C90" t="s">
        <v>23</v>
      </c>
      <c r="D90" s="7">
        <v>360.79</v>
      </c>
      <c r="E90" s="7">
        <v>360.79</v>
      </c>
      <c r="F90" s="7">
        <v>0.41</v>
      </c>
      <c r="G90" s="7">
        <f t="shared" si="6"/>
        <v>26.63429</v>
      </c>
      <c r="H90" t="s">
        <v>697</v>
      </c>
      <c r="K90">
        <f t="shared" si="5"/>
        <v>360.79</v>
      </c>
    </row>
    <row r="91" spans="1:11" x14ac:dyDescent="0.15">
      <c r="A91" s="6">
        <v>89</v>
      </c>
      <c r="B91" t="s">
        <v>106</v>
      </c>
      <c r="C91" t="s">
        <v>23</v>
      </c>
      <c r="D91" s="7">
        <v>213.79</v>
      </c>
      <c r="E91" s="7">
        <v>213.79</v>
      </c>
      <c r="F91" s="7">
        <v>0.73</v>
      </c>
      <c r="G91" s="7">
        <f t="shared" si="6"/>
        <v>26.84808</v>
      </c>
      <c r="H91" t="s">
        <v>697</v>
      </c>
      <c r="K91">
        <f t="shared" si="5"/>
        <v>213.79</v>
      </c>
    </row>
    <row r="92" spans="1:11" x14ac:dyDescent="0.15">
      <c r="A92" s="6">
        <v>90</v>
      </c>
      <c r="B92" t="s">
        <v>107</v>
      </c>
      <c r="C92" t="s">
        <v>28</v>
      </c>
      <c r="D92" s="7">
        <v>260.64999999999998</v>
      </c>
      <c r="E92" s="7">
        <v>269.14999999999998</v>
      </c>
      <c r="F92" s="7">
        <v>29.9</v>
      </c>
      <c r="G92" s="7">
        <f t="shared" si="6"/>
        <v>27.117229999999999</v>
      </c>
      <c r="H92" t="s">
        <v>697</v>
      </c>
      <c r="J92" s="7">
        <f>D92+8.5</f>
        <v>269.14999999999998</v>
      </c>
      <c r="K92">
        <f t="shared" si="5"/>
        <v>269.14999999999998</v>
      </c>
    </row>
    <row r="93" spans="1:11" x14ac:dyDescent="0.15">
      <c r="A93" s="6">
        <v>91</v>
      </c>
      <c r="B93" t="s">
        <v>108</v>
      </c>
      <c r="C93" t="s">
        <v>23</v>
      </c>
      <c r="D93" s="7">
        <v>345.13</v>
      </c>
      <c r="E93" s="7">
        <v>345.13</v>
      </c>
      <c r="F93" s="7">
        <v>1.01</v>
      </c>
      <c r="G93" s="7">
        <f t="shared" si="6"/>
        <v>27.46236</v>
      </c>
      <c r="H93" t="s">
        <v>697</v>
      </c>
      <c r="K93">
        <f t="shared" si="5"/>
        <v>345.13</v>
      </c>
    </row>
    <row r="94" spans="1:11" x14ac:dyDescent="0.15">
      <c r="A94" s="6">
        <v>92</v>
      </c>
      <c r="B94" t="s">
        <v>109</v>
      </c>
      <c r="C94" t="s">
        <v>23</v>
      </c>
      <c r="D94" s="7">
        <v>321.79000000000002</v>
      </c>
      <c r="E94" s="7">
        <v>321.79000000000002</v>
      </c>
      <c r="F94" s="7">
        <v>0.63</v>
      </c>
      <c r="G94" s="7">
        <f t="shared" si="6"/>
        <v>27.78415</v>
      </c>
      <c r="H94" t="s">
        <v>697</v>
      </c>
      <c r="K94">
        <f t="shared" si="5"/>
        <v>321.79000000000002</v>
      </c>
    </row>
    <row r="95" spans="1:11" x14ac:dyDescent="0.15">
      <c r="A95" s="6">
        <v>93</v>
      </c>
      <c r="B95" t="s">
        <v>110</v>
      </c>
      <c r="C95" t="s">
        <v>23</v>
      </c>
      <c r="D95" s="7">
        <v>338.11</v>
      </c>
      <c r="E95" s="7">
        <v>338.11</v>
      </c>
      <c r="F95" s="7">
        <v>2.29</v>
      </c>
      <c r="G95" s="7">
        <f t="shared" si="6"/>
        <v>28.122260000000001</v>
      </c>
      <c r="H95" t="s">
        <v>697</v>
      </c>
      <c r="K95">
        <f t="shared" si="5"/>
        <v>338.11</v>
      </c>
    </row>
    <row r="96" spans="1:11" x14ac:dyDescent="0.15">
      <c r="A96" s="6">
        <v>94</v>
      </c>
      <c r="B96" t="s">
        <v>111</v>
      </c>
      <c r="C96" t="s">
        <v>23</v>
      </c>
      <c r="D96" s="7">
        <v>288.14</v>
      </c>
      <c r="E96" s="7">
        <v>288.14</v>
      </c>
      <c r="F96" s="7">
        <v>2.35</v>
      </c>
      <c r="G96" s="7">
        <f t="shared" si="6"/>
        <v>28.410399999999999</v>
      </c>
      <c r="H96" t="s">
        <v>697</v>
      </c>
      <c r="K96">
        <f t="shared" si="5"/>
        <v>288.14</v>
      </c>
    </row>
    <row r="97" spans="1:11" x14ac:dyDescent="0.15">
      <c r="A97" s="6">
        <v>95</v>
      </c>
      <c r="B97" t="s">
        <v>112</v>
      </c>
      <c r="C97" t="s">
        <v>23</v>
      </c>
      <c r="D97" s="7">
        <v>288.08999999999997</v>
      </c>
      <c r="E97" s="7">
        <v>288.08999999999997</v>
      </c>
      <c r="F97" s="7">
        <v>0.36</v>
      </c>
      <c r="G97" s="7">
        <f t="shared" si="6"/>
        <v>28.69849</v>
      </c>
      <c r="H97" t="s">
        <v>697</v>
      </c>
      <c r="K97">
        <f t="shared" si="5"/>
        <v>288.08999999999997</v>
      </c>
    </row>
    <row r="98" spans="1:11" x14ac:dyDescent="0.15">
      <c r="A98" s="6">
        <v>96</v>
      </c>
      <c r="B98" t="s">
        <v>113</v>
      </c>
      <c r="C98" t="s">
        <v>28</v>
      </c>
      <c r="D98" s="7">
        <v>352.43</v>
      </c>
      <c r="E98" s="7">
        <v>360.93</v>
      </c>
      <c r="F98" s="7">
        <v>13.86</v>
      </c>
      <c r="G98" s="7">
        <f t="shared" si="6"/>
        <v>29.059419999999999</v>
      </c>
      <c r="H98" t="s">
        <v>697</v>
      </c>
      <c r="J98" s="7">
        <f>D98+8.5</f>
        <v>360.93</v>
      </c>
      <c r="K98">
        <f t="shared" si="5"/>
        <v>360.93</v>
      </c>
    </row>
    <row r="99" spans="1:11" x14ac:dyDescent="0.15">
      <c r="A99" s="6">
        <v>97</v>
      </c>
      <c r="B99" t="s">
        <v>114</v>
      </c>
      <c r="C99" t="s">
        <v>23</v>
      </c>
      <c r="D99" s="7">
        <v>341.37</v>
      </c>
      <c r="E99" s="7">
        <v>341.37</v>
      </c>
      <c r="F99" s="7">
        <v>1.47</v>
      </c>
      <c r="G99" s="7">
        <f t="shared" si="6"/>
        <v>29.400790000000001</v>
      </c>
      <c r="H99" t="s">
        <v>697</v>
      </c>
      <c r="K99">
        <f t="shared" si="5"/>
        <v>341.37</v>
      </c>
    </row>
    <row r="100" spans="1:11" x14ac:dyDescent="0.15">
      <c r="A100" s="6">
        <v>98</v>
      </c>
      <c r="B100" t="s">
        <v>115</v>
      </c>
      <c r="C100" t="s">
        <v>23</v>
      </c>
      <c r="D100" s="7">
        <v>328.08</v>
      </c>
      <c r="E100" s="7">
        <v>328.08</v>
      </c>
      <c r="F100" s="7">
        <v>0.15</v>
      </c>
      <c r="G100" s="7">
        <f t="shared" si="6"/>
        <v>29.728870000000001</v>
      </c>
      <c r="H100" t="s">
        <v>697</v>
      </c>
      <c r="K100">
        <f t="shared" si="5"/>
        <v>328.08</v>
      </c>
    </row>
    <row r="101" spans="1:11" x14ac:dyDescent="0.15">
      <c r="A101" s="6">
        <v>99</v>
      </c>
      <c r="B101" t="s">
        <v>116</v>
      </c>
      <c r="C101" t="s">
        <v>23</v>
      </c>
      <c r="D101" s="7">
        <v>357.06</v>
      </c>
      <c r="E101" s="7">
        <v>357.06</v>
      </c>
      <c r="F101" s="7">
        <v>2.38</v>
      </c>
      <c r="G101" s="7">
        <f t="shared" si="6"/>
        <v>30.085930000000001</v>
      </c>
      <c r="H101" t="s">
        <v>697</v>
      </c>
      <c r="K101">
        <f t="shared" si="5"/>
        <v>357.06</v>
      </c>
    </row>
    <row r="102" spans="1:11" x14ac:dyDescent="0.15">
      <c r="A102" s="6">
        <v>100</v>
      </c>
      <c r="B102" t="s">
        <v>117</v>
      </c>
      <c r="C102" t="s">
        <v>28</v>
      </c>
      <c r="D102" s="7">
        <v>287.73</v>
      </c>
      <c r="E102" s="7">
        <v>296.23</v>
      </c>
      <c r="F102" s="7">
        <v>15.29</v>
      </c>
      <c r="G102" s="7">
        <f t="shared" si="6"/>
        <v>30.382160000000002</v>
      </c>
      <c r="H102" t="s">
        <v>697</v>
      </c>
      <c r="J102" s="7">
        <f>D102+8.5</f>
        <v>296.23</v>
      </c>
      <c r="K102">
        <f t="shared" si="5"/>
        <v>296.23</v>
      </c>
    </row>
    <row r="103" spans="1:11" x14ac:dyDescent="0.15">
      <c r="A103" s="6">
        <v>101</v>
      </c>
      <c r="B103" t="s">
        <v>118</v>
      </c>
      <c r="C103" t="s">
        <v>23</v>
      </c>
      <c r="D103" s="7">
        <v>362.07</v>
      </c>
      <c r="E103" s="7">
        <v>362.07</v>
      </c>
      <c r="F103" s="7">
        <v>0.64</v>
      </c>
      <c r="G103" s="7">
        <f t="shared" si="6"/>
        <v>30.744230000000002</v>
      </c>
      <c r="H103" t="s">
        <v>697</v>
      </c>
      <c r="K103">
        <f t="shared" si="5"/>
        <v>362.07</v>
      </c>
    </row>
    <row r="104" spans="1:11" x14ac:dyDescent="0.15">
      <c r="A104" s="6">
        <v>102</v>
      </c>
      <c r="B104" t="s">
        <v>121</v>
      </c>
      <c r="C104" t="s">
        <v>23</v>
      </c>
      <c r="D104" s="7">
        <v>360.67</v>
      </c>
      <c r="E104" s="7">
        <v>360.67</v>
      </c>
      <c r="F104" s="7">
        <v>0.79</v>
      </c>
      <c r="G104" s="7">
        <f t="shared" si="6"/>
        <v>31.104900000000001</v>
      </c>
      <c r="H104" t="s">
        <v>697</v>
      </c>
      <c r="K104">
        <f t="shared" si="5"/>
        <v>360.67</v>
      </c>
    </row>
    <row r="105" spans="1:11" x14ac:dyDescent="0.15">
      <c r="A105" s="6">
        <v>103</v>
      </c>
      <c r="B105" t="s">
        <v>122</v>
      </c>
      <c r="C105" t="s">
        <v>23</v>
      </c>
      <c r="D105" s="7">
        <v>262.64999999999998</v>
      </c>
      <c r="E105" s="7">
        <v>262.64999999999998</v>
      </c>
      <c r="F105" s="7">
        <v>0.77</v>
      </c>
      <c r="G105" s="7">
        <f t="shared" si="6"/>
        <v>31.367550000000001</v>
      </c>
      <c r="H105" t="s">
        <v>697</v>
      </c>
      <c r="K105">
        <f t="shared" si="5"/>
        <v>262.64999999999998</v>
      </c>
    </row>
    <row r="106" spans="1:11" x14ac:dyDescent="0.15">
      <c r="A106" s="6">
        <v>104</v>
      </c>
      <c r="B106" t="s">
        <v>123</v>
      </c>
      <c r="C106" t="s">
        <v>23</v>
      </c>
      <c r="D106" s="7">
        <v>353.09</v>
      </c>
      <c r="E106" s="7">
        <v>353.09</v>
      </c>
      <c r="F106" s="7">
        <v>0.71</v>
      </c>
      <c r="G106" s="7">
        <f t="shared" si="6"/>
        <v>31.720640000000003</v>
      </c>
      <c r="H106" t="s">
        <v>697</v>
      </c>
      <c r="K106">
        <f t="shared" si="5"/>
        <v>353.09</v>
      </c>
    </row>
    <row r="107" spans="1:11" x14ac:dyDescent="0.15">
      <c r="A107" s="6">
        <v>105</v>
      </c>
      <c r="B107" t="s">
        <v>124</v>
      </c>
      <c r="C107" t="s">
        <v>23</v>
      </c>
      <c r="D107" s="7">
        <v>347.1</v>
      </c>
      <c r="E107" s="7">
        <v>347.1</v>
      </c>
      <c r="F107" s="7">
        <v>0.46</v>
      </c>
      <c r="G107" s="7">
        <f t="shared" si="6"/>
        <v>32.067740000000001</v>
      </c>
      <c r="H107" t="s">
        <v>697</v>
      </c>
      <c r="K107">
        <f t="shared" si="5"/>
        <v>347.1</v>
      </c>
    </row>
    <row r="108" spans="1:11" x14ac:dyDescent="0.15">
      <c r="A108" s="6">
        <v>106</v>
      </c>
      <c r="B108" t="s">
        <v>125</v>
      </c>
      <c r="C108" t="s">
        <v>23</v>
      </c>
      <c r="D108" s="7">
        <v>313.20999999999998</v>
      </c>
      <c r="E108" s="7">
        <v>313.20999999999998</v>
      </c>
      <c r="F108" s="7">
        <v>0.38</v>
      </c>
      <c r="G108" s="7">
        <f t="shared" si="6"/>
        <v>32.380949999999999</v>
      </c>
      <c r="H108" t="s">
        <v>697</v>
      </c>
      <c r="K108">
        <f t="shared" si="5"/>
        <v>313.20999999999998</v>
      </c>
    </row>
    <row r="109" spans="1:11" x14ac:dyDescent="0.15">
      <c r="A109" s="6">
        <v>107</v>
      </c>
      <c r="B109" t="s">
        <v>126</v>
      </c>
      <c r="C109" t="s">
        <v>28</v>
      </c>
      <c r="D109" s="7">
        <v>309.17</v>
      </c>
      <c r="E109" s="7">
        <v>317.67</v>
      </c>
      <c r="F109" s="7">
        <v>10.98</v>
      </c>
      <c r="G109" s="7">
        <f t="shared" si="6"/>
        <v>32.698619999999998</v>
      </c>
      <c r="H109" t="s">
        <v>697</v>
      </c>
      <c r="J109" s="7">
        <f>D109+8.5</f>
        <v>317.67</v>
      </c>
      <c r="K109">
        <f t="shared" si="5"/>
        <v>317.67</v>
      </c>
    </row>
    <row r="110" spans="1:11" x14ac:dyDescent="0.15">
      <c r="A110" s="6">
        <v>108</v>
      </c>
      <c r="B110" t="s">
        <v>127</v>
      </c>
      <c r="C110" t="s">
        <v>23</v>
      </c>
      <c r="D110" s="7">
        <v>349.82</v>
      </c>
      <c r="E110" s="7">
        <v>349.82</v>
      </c>
      <c r="F110" s="7">
        <v>0.04</v>
      </c>
      <c r="G110" s="7">
        <f t="shared" si="6"/>
        <v>33.048439999999999</v>
      </c>
      <c r="H110" t="s">
        <v>697</v>
      </c>
      <c r="K110">
        <f t="shared" si="5"/>
        <v>349.82</v>
      </c>
    </row>
    <row r="111" spans="1:11" x14ac:dyDescent="0.15">
      <c r="A111" s="6">
        <v>109</v>
      </c>
      <c r="B111" t="s">
        <v>128</v>
      </c>
      <c r="C111" t="s">
        <v>23</v>
      </c>
      <c r="D111" s="7">
        <v>362.81</v>
      </c>
      <c r="E111" s="7">
        <v>362.81</v>
      </c>
      <c r="F111" s="7">
        <v>0.02</v>
      </c>
      <c r="G111" s="7">
        <f t="shared" si="6"/>
        <v>33.411250000000003</v>
      </c>
      <c r="H111" t="s">
        <v>697</v>
      </c>
      <c r="K111">
        <f t="shared" si="5"/>
        <v>362.81</v>
      </c>
    </row>
    <row r="112" spans="1:11" x14ac:dyDescent="0.15">
      <c r="A112" s="6">
        <v>110</v>
      </c>
      <c r="B112" t="s">
        <v>129</v>
      </c>
      <c r="C112" t="s">
        <v>23</v>
      </c>
      <c r="D112" s="7">
        <v>335.11</v>
      </c>
      <c r="E112" s="7">
        <v>335.11</v>
      </c>
      <c r="F112" s="7">
        <v>0.94</v>
      </c>
      <c r="G112" s="7">
        <f t="shared" si="6"/>
        <v>33.746360000000003</v>
      </c>
      <c r="H112" t="s">
        <v>697</v>
      </c>
      <c r="K112">
        <f t="shared" si="5"/>
        <v>335.11</v>
      </c>
    </row>
    <row r="113" spans="1:11" x14ac:dyDescent="0.15">
      <c r="A113" s="6">
        <v>111</v>
      </c>
      <c r="B113" t="s">
        <v>130</v>
      </c>
      <c r="C113" t="s">
        <v>23</v>
      </c>
      <c r="D113" s="7">
        <v>363.84</v>
      </c>
      <c r="E113" s="7">
        <v>363.84</v>
      </c>
      <c r="F113" s="7">
        <v>2.23</v>
      </c>
      <c r="G113" s="7">
        <f t="shared" si="6"/>
        <v>34.110200000000006</v>
      </c>
      <c r="H113" t="s">
        <v>697</v>
      </c>
      <c r="K113">
        <f t="shared" si="5"/>
        <v>363.84</v>
      </c>
    </row>
    <row r="114" spans="1:11" x14ac:dyDescent="0.15">
      <c r="A114" s="6">
        <v>112</v>
      </c>
      <c r="B114" t="s">
        <v>131</v>
      </c>
      <c r="C114" t="s">
        <v>28</v>
      </c>
      <c r="D114" s="7">
        <v>346.11</v>
      </c>
      <c r="E114" s="7">
        <v>354.61</v>
      </c>
      <c r="F114" s="7">
        <v>16.45</v>
      </c>
      <c r="G114" s="7">
        <f t="shared" si="6"/>
        <v>34.464810000000007</v>
      </c>
      <c r="H114" t="s">
        <v>697</v>
      </c>
      <c r="J114" s="7">
        <f>D114+8.5</f>
        <v>354.61</v>
      </c>
      <c r="K114">
        <f t="shared" si="5"/>
        <v>354.61</v>
      </c>
    </row>
    <row r="115" spans="1:11" x14ac:dyDescent="0.15">
      <c r="A115" s="6">
        <v>113</v>
      </c>
      <c r="B115" t="s">
        <v>132</v>
      </c>
      <c r="C115" t="s">
        <v>23</v>
      </c>
      <c r="D115" s="7">
        <v>297.42</v>
      </c>
      <c r="E115" s="7">
        <v>297.42</v>
      </c>
      <c r="F115" s="7">
        <v>0.56999999999999995</v>
      </c>
      <c r="G115" s="7">
        <f t="shared" si="6"/>
        <v>34.76223000000001</v>
      </c>
      <c r="H115" t="s">
        <v>697</v>
      </c>
      <c r="K115">
        <f t="shared" si="5"/>
        <v>297.42</v>
      </c>
    </row>
    <row r="116" spans="1:11" x14ac:dyDescent="0.15">
      <c r="A116" s="6">
        <v>114</v>
      </c>
      <c r="B116" t="s">
        <v>133</v>
      </c>
      <c r="C116" t="s">
        <v>23</v>
      </c>
      <c r="D116" s="7">
        <v>302.24</v>
      </c>
      <c r="E116" s="7">
        <v>302.24</v>
      </c>
      <c r="F116" s="7">
        <v>0.75</v>
      </c>
      <c r="G116" s="7">
        <f t="shared" si="6"/>
        <v>35.064470000000007</v>
      </c>
      <c r="H116" t="s">
        <v>697</v>
      </c>
      <c r="K116">
        <f t="shared" si="5"/>
        <v>302.24</v>
      </c>
    </row>
    <row r="117" spans="1:11" x14ac:dyDescent="0.15">
      <c r="A117" s="6">
        <v>115</v>
      </c>
      <c r="B117" t="s">
        <v>134</v>
      </c>
      <c r="C117" t="s">
        <v>23</v>
      </c>
      <c r="D117" s="7">
        <v>298.10000000000002</v>
      </c>
      <c r="E117" s="7">
        <v>298.10000000000002</v>
      </c>
      <c r="F117" s="7">
        <v>0.32</v>
      </c>
      <c r="G117" s="7">
        <f t="shared" si="6"/>
        <v>35.362570000000005</v>
      </c>
      <c r="H117" t="s">
        <v>697</v>
      </c>
      <c r="K117">
        <f t="shared" si="5"/>
        <v>298.10000000000002</v>
      </c>
    </row>
    <row r="118" spans="1:11" x14ac:dyDescent="0.15">
      <c r="A118" s="6">
        <v>116</v>
      </c>
      <c r="B118" t="s">
        <v>135</v>
      </c>
      <c r="C118" t="s">
        <v>23</v>
      </c>
      <c r="D118" s="7">
        <v>329.24</v>
      </c>
      <c r="E118" s="7">
        <v>329.24</v>
      </c>
      <c r="F118" s="7">
        <v>1.3</v>
      </c>
      <c r="G118" s="7">
        <f t="shared" si="6"/>
        <v>35.691810000000004</v>
      </c>
      <c r="H118" t="s">
        <v>697</v>
      </c>
      <c r="K118">
        <f t="shared" si="5"/>
        <v>329.24</v>
      </c>
    </row>
    <row r="119" spans="1:11" x14ac:dyDescent="0.15">
      <c r="A119" s="6">
        <v>117</v>
      </c>
      <c r="B119" t="s">
        <v>136</v>
      </c>
      <c r="C119" t="s">
        <v>23</v>
      </c>
      <c r="D119" s="7">
        <v>296.89</v>
      </c>
      <c r="E119" s="7">
        <v>296.89</v>
      </c>
      <c r="F119" s="7">
        <v>1.38</v>
      </c>
      <c r="G119" s="7">
        <f t="shared" si="6"/>
        <v>35.988700000000001</v>
      </c>
      <c r="H119" t="s">
        <v>697</v>
      </c>
      <c r="K119">
        <f t="shared" si="5"/>
        <v>296.89</v>
      </c>
    </row>
    <row r="120" spans="1:11" x14ac:dyDescent="0.15">
      <c r="A120" s="6">
        <v>118</v>
      </c>
      <c r="B120" t="s">
        <v>137</v>
      </c>
      <c r="C120" t="s">
        <v>28</v>
      </c>
      <c r="D120" s="7">
        <v>303.81</v>
      </c>
      <c r="E120" s="7">
        <v>312.31</v>
      </c>
      <c r="F120" s="7">
        <v>29.67</v>
      </c>
      <c r="G120" s="7">
        <f t="shared" si="6"/>
        <v>36.301009999999998</v>
      </c>
      <c r="H120" t="s">
        <v>697</v>
      </c>
      <c r="J120" s="7">
        <f t="shared" ref="J120:J121" si="7">D120+8.5</f>
        <v>312.31</v>
      </c>
      <c r="K120">
        <f t="shared" si="5"/>
        <v>312.31</v>
      </c>
    </row>
    <row r="121" spans="1:11" x14ac:dyDescent="0.15">
      <c r="A121" s="6">
        <v>119</v>
      </c>
      <c r="B121" t="s">
        <v>138</v>
      </c>
      <c r="C121" t="s">
        <v>19</v>
      </c>
      <c r="D121" s="7">
        <v>215.61</v>
      </c>
      <c r="E121" s="7">
        <v>224.11</v>
      </c>
      <c r="F121" s="7">
        <v>18.940000000000001</v>
      </c>
      <c r="G121" s="7">
        <f t="shared" si="6"/>
        <v>36.525120000000001</v>
      </c>
      <c r="H121" t="s">
        <v>697</v>
      </c>
      <c r="J121" s="7">
        <f t="shared" si="7"/>
        <v>224.11</v>
      </c>
      <c r="K121">
        <f t="shared" si="5"/>
        <v>224.11</v>
      </c>
    </row>
    <row r="122" spans="1:11" x14ac:dyDescent="0.15">
      <c r="A122" s="6">
        <v>120</v>
      </c>
      <c r="B122" t="s">
        <v>139</v>
      </c>
      <c r="C122" t="s">
        <v>23</v>
      </c>
      <c r="D122" s="7">
        <v>210.43</v>
      </c>
      <c r="E122" s="7">
        <v>210.43</v>
      </c>
      <c r="F122" s="7">
        <v>3.71</v>
      </c>
      <c r="G122" s="7">
        <f t="shared" si="6"/>
        <v>36.735550000000003</v>
      </c>
      <c r="H122" t="s">
        <v>697</v>
      </c>
      <c r="K122">
        <f t="shared" si="5"/>
        <v>210.43</v>
      </c>
    </row>
    <row r="123" spans="1:11" x14ac:dyDescent="0.15">
      <c r="A123" s="6">
        <v>121</v>
      </c>
      <c r="B123" t="s">
        <v>140</v>
      </c>
      <c r="C123" t="s">
        <v>28</v>
      </c>
      <c r="D123" s="7">
        <v>312.12</v>
      </c>
      <c r="E123" s="7">
        <v>320.62</v>
      </c>
      <c r="F123" s="7">
        <v>23.98</v>
      </c>
      <c r="G123" s="7">
        <f t="shared" si="6"/>
        <v>37.056170000000002</v>
      </c>
      <c r="H123" t="s">
        <v>697</v>
      </c>
      <c r="J123" s="7">
        <f>D123+8.5</f>
        <v>320.62</v>
      </c>
      <c r="K123">
        <f t="shared" si="5"/>
        <v>320.62</v>
      </c>
    </row>
    <row r="124" spans="1:11" x14ac:dyDescent="0.15">
      <c r="A124" s="6">
        <v>122</v>
      </c>
      <c r="B124" t="s">
        <v>141</v>
      </c>
      <c r="C124" t="s">
        <v>23</v>
      </c>
      <c r="D124" s="7">
        <v>192.66</v>
      </c>
      <c r="E124" s="7">
        <v>192.66</v>
      </c>
      <c r="F124" s="7">
        <v>1.88</v>
      </c>
      <c r="G124" s="7">
        <f t="shared" si="6"/>
        <v>37.248829999999998</v>
      </c>
      <c r="H124" t="s">
        <v>697</v>
      </c>
      <c r="K124">
        <f t="shared" si="5"/>
        <v>192.66</v>
      </c>
    </row>
    <row r="125" spans="1:11" x14ac:dyDescent="0.15">
      <c r="A125" s="6">
        <v>123</v>
      </c>
      <c r="B125" t="s">
        <v>142</v>
      </c>
      <c r="C125" t="s">
        <v>23</v>
      </c>
      <c r="D125" s="7">
        <v>301.88</v>
      </c>
      <c r="E125" s="7">
        <v>301.88</v>
      </c>
      <c r="F125" s="7">
        <v>1.54</v>
      </c>
      <c r="G125" s="7">
        <f t="shared" si="6"/>
        <v>37.550709999999995</v>
      </c>
      <c r="H125" t="s">
        <v>697</v>
      </c>
      <c r="K125">
        <f t="shared" si="5"/>
        <v>301.88</v>
      </c>
    </row>
    <row r="126" spans="1:11" x14ac:dyDescent="0.15">
      <c r="A126" s="6">
        <v>124</v>
      </c>
      <c r="B126" t="s">
        <v>143</v>
      </c>
      <c r="C126" t="s">
        <v>23</v>
      </c>
      <c r="D126" s="7">
        <v>297.61</v>
      </c>
      <c r="E126" s="7">
        <v>297.61</v>
      </c>
      <c r="F126" s="7">
        <v>0.54</v>
      </c>
      <c r="G126" s="7">
        <f t="shared" si="6"/>
        <v>37.848319999999994</v>
      </c>
      <c r="H126" t="s">
        <v>697</v>
      </c>
      <c r="K126">
        <f t="shared" si="5"/>
        <v>297.61</v>
      </c>
    </row>
    <row r="127" spans="1:11" x14ac:dyDescent="0.15">
      <c r="A127" s="6">
        <v>125</v>
      </c>
      <c r="B127" t="s">
        <v>144</v>
      </c>
      <c r="C127" t="s">
        <v>28</v>
      </c>
      <c r="D127" s="7">
        <v>311.19</v>
      </c>
      <c r="E127" s="7">
        <v>319.69</v>
      </c>
      <c r="F127" s="7">
        <v>21.4</v>
      </c>
      <c r="G127" s="7">
        <f t="shared" si="6"/>
        <v>38.168009999999995</v>
      </c>
      <c r="H127" t="s">
        <v>697</v>
      </c>
      <c r="J127" s="7">
        <f>D127+8.5</f>
        <v>319.69</v>
      </c>
      <c r="K127">
        <f t="shared" si="5"/>
        <v>319.69</v>
      </c>
    </row>
    <row r="128" spans="1:11" x14ac:dyDescent="0.15">
      <c r="A128" s="6">
        <v>126</v>
      </c>
      <c r="B128" t="s">
        <v>145</v>
      </c>
      <c r="C128" t="s">
        <v>23</v>
      </c>
      <c r="D128" s="7">
        <v>278.45</v>
      </c>
      <c r="E128" s="7">
        <v>278.45</v>
      </c>
      <c r="F128" s="7">
        <v>2.0499999999999998</v>
      </c>
      <c r="G128" s="7">
        <f t="shared" si="6"/>
        <v>38.446459999999995</v>
      </c>
      <c r="H128" t="s">
        <v>697</v>
      </c>
      <c r="K128">
        <f t="shared" si="5"/>
        <v>278.45</v>
      </c>
    </row>
    <row r="129" spans="1:11" x14ac:dyDescent="0.15">
      <c r="A129" s="6">
        <v>127</v>
      </c>
      <c r="B129" t="s">
        <v>146</v>
      </c>
      <c r="C129" t="s">
        <v>23</v>
      </c>
      <c r="D129" s="7">
        <v>329.7</v>
      </c>
      <c r="E129" s="7">
        <v>329.7</v>
      </c>
      <c r="F129" s="7">
        <v>1.51</v>
      </c>
      <c r="G129" s="7">
        <f t="shared" si="6"/>
        <v>38.776159999999997</v>
      </c>
      <c r="H129" t="s">
        <v>697</v>
      </c>
      <c r="K129">
        <f t="shared" si="5"/>
        <v>329.7</v>
      </c>
    </row>
    <row r="130" spans="1:11" x14ac:dyDescent="0.15">
      <c r="A130" s="6">
        <v>128</v>
      </c>
      <c r="B130" t="s">
        <v>147</v>
      </c>
      <c r="C130" t="s">
        <v>23</v>
      </c>
      <c r="D130" s="7">
        <v>224.41</v>
      </c>
      <c r="E130" s="7">
        <v>224.41</v>
      </c>
      <c r="F130" s="7">
        <v>1.26</v>
      </c>
      <c r="G130" s="7">
        <f t="shared" si="6"/>
        <v>39.000569999999996</v>
      </c>
      <c r="H130" t="s">
        <v>697</v>
      </c>
      <c r="K130">
        <f t="shared" si="5"/>
        <v>224.41</v>
      </c>
    </row>
    <row r="131" spans="1:11" x14ac:dyDescent="0.15">
      <c r="A131" s="6">
        <v>129</v>
      </c>
      <c r="B131" t="s">
        <v>148</v>
      </c>
      <c r="C131" t="s">
        <v>28</v>
      </c>
      <c r="D131" s="7">
        <v>352.52</v>
      </c>
      <c r="E131" s="7">
        <v>361.02</v>
      </c>
      <c r="F131" s="7">
        <v>26.71</v>
      </c>
      <c r="G131" s="7">
        <f t="shared" si="6"/>
        <v>39.36159</v>
      </c>
      <c r="H131" t="s">
        <v>697</v>
      </c>
      <c r="J131" s="7">
        <f>D131+8.5</f>
        <v>361.02</v>
      </c>
      <c r="K131">
        <f t="shared" ref="K131:K184" si="8">IF(J131&lt;&gt;"",J131,D131)</f>
        <v>361.02</v>
      </c>
    </row>
    <row r="132" spans="1:11" x14ac:dyDescent="0.15">
      <c r="A132" s="6">
        <v>130</v>
      </c>
      <c r="B132" t="s">
        <v>149</v>
      </c>
      <c r="C132" t="s">
        <v>23</v>
      </c>
      <c r="D132" s="7">
        <v>314.33999999999997</v>
      </c>
      <c r="E132" s="7">
        <v>314.33999999999997</v>
      </c>
      <c r="F132" s="7">
        <v>1.27</v>
      </c>
      <c r="G132" s="7">
        <f t="shared" ref="G132:G184" si="9">G131+E132/1000</f>
        <v>39.675930000000001</v>
      </c>
      <c r="H132" t="s">
        <v>697</v>
      </c>
      <c r="K132">
        <f t="shared" si="8"/>
        <v>314.33999999999997</v>
      </c>
    </row>
    <row r="133" spans="1:11" x14ac:dyDescent="0.15">
      <c r="A133" s="6">
        <v>131</v>
      </c>
      <c r="B133" t="s">
        <v>150</v>
      </c>
      <c r="C133" t="s">
        <v>23</v>
      </c>
      <c r="D133" s="7">
        <v>305.35000000000002</v>
      </c>
      <c r="E133" s="7">
        <v>305.35000000000002</v>
      </c>
      <c r="F133" s="7">
        <v>1.44</v>
      </c>
      <c r="G133" s="7">
        <f t="shared" si="9"/>
        <v>39.981279999999998</v>
      </c>
      <c r="H133" t="s">
        <v>697</v>
      </c>
      <c r="K133">
        <f t="shared" si="8"/>
        <v>305.35000000000002</v>
      </c>
    </row>
    <row r="134" spans="1:11" x14ac:dyDescent="0.15">
      <c r="A134" s="6">
        <v>132</v>
      </c>
      <c r="B134" t="s">
        <v>151</v>
      </c>
      <c r="C134" t="s">
        <v>28</v>
      </c>
      <c r="D134" s="7">
        <v>333.64</v>
      </c>
      <c r="E134" s="7">
        <v>342.14</v>
      </c>
      <c r="F134" s="7">
        <v>24.8</v>
      </c>
      <c r="G134" s="7">
        <f t="shared" si="9"/>
        <v>40.323419999999999</v>
      </c>
      <c r="H134" t="s">
        <v>697</v>
      </c>
      <c r="J134" s="7">
        <f>D134+8.5</f>
        <v>342.14</v>
      </c>
      <c r="K134">
        <f t="shared" si="8"/>
        <v>342.14</v>
      </c>
    </row>
    <row r="135" spans="1:11" x14ac:dyDescent="0.15">
      <c r="A135" s="6">
        <v>133</v>
      </c>
      <c r="B135" t="s">
        <v>152</v>
      </c>
      <c r="C135" t="s">
        <v>23</v>
      </c>
      <c r="D135" s="7">
        <v>302.36</v>
      </c>
      <c r="E135" s="7">
        <v>302.36</v>
      </c>
      <c r="F135" s="7">
        <v>0.03</v>
      </c>
      <c r="G135" s="7">
        <f t="shared" si="9"/>
        <v>40.625779999999999</v>
      </c>
      <c r="H135" t="s">
        <v>697</v>
      </c>
      <c r="K135">
        <f t="shared" si="8"/>
        <v>302.36</v>
      </c>
    </row>
    <row r="136" spans="1:11" x14ac:dyDescent="0.15">
      <c r="A136" s="6">
        <v>134</v>
      </c>
      <c r="B136" t="s">
        <v>153</v>
      </c>
      <c r="C136" t="s">
        <v>23</v>
      </c>
      <c r="D136" s="7">
        <v>285.77</v>
      </c>
      <c r="E136" s="7">
        <v>285.77</v>
      </c>
      <c r="F136" s="7">
        <v>0.71</v>
      </c>
      <c r="G136" s="7">
        <f t="shared" si="9"/>
        <v>40.911549999999998</v>
      </c>
      <c r="H136" t="s">
        <v>697</v>
      </c>
      <c r="K136">
        <f t="shared" si="8"/>
        <v>285.77</v>
      </c>
    </row>
    <row r="137" spans="1:11" x14ac:dyDescent="0.15">
      <c r="A137" s="6">
        <v>135</v>
      </c>
      <c r="B137" t="s">
        <v>154</v>
      </c>
      <c r="C137" t="s">
        <v>28</v>
      </c>
      <c r="D137" s="7">
        <v>438.47</v>
      </c>
      <c r="E137" s="7">
        <v>446.97</v>
      </c>
      <c r="F137" s="7">
        <v>32.6</v>
      </c>
      <c r="G137" s="7">
        <f t="shared" si="9"/>
        <v>41.358519999999999</v>
      </c>
      <c r="H137" t="s">
        <v>697</v>
      </c>
      <c r="J137" s="7">
        <f>D137+8.5</f>
        <v>446.97</v>
      </c>
      <c r="K137">
        <f t="shared" si="8"/>
        <v>446.97</v>
      </c>
    </row>
    <row r="138" spans="1:11" x14ac:dyDescent="0.15">
      <c r="A138" s="6">
        <v>136</v>
      </c>
      <c r="B138" t="s">
        <v>155</v>
      </c>
      <c r="C138" t="s">
        <v>23</v>
      </c>
      <c r="D138" s="7">
        <v>346.5</v>
      </c>
      <c r="E138" s="7">
        <v>346.5</v>
      </c>
      <c r="F138" s="7">
        <v>1.83</v>
      </c>
      <c r="G138" s="7">
        <f t="shared" si="9"/>
        <v>41.705019999999998</v>
      </c>
      <c r="H138" t="s">
        <v>697</v>
      </c>
      <c r="K138">
        <f t="shared" si="8"/>
        <v>346.5</v>
      </c>
    </row>
    <row r="139" spans="1:11" x14ac:dyDescent="0.15">
      <c r="A139" s="6">
        <v>137</v>
      </c>
      <c r="B139" t="s">
        <v>156</v>
      </c>
      <c r="C139" t="s">
        <v>28</v>
      </c>
      <c r="D139" s="7">
        <v>234.69</v>
      </c>
      <c r="E139" s="7">
        <v>243.19</v>
      </c>
      <c r="F139" s="7">
        <v>17.45</v>
      </c>
      <c r="G139" s="7">
        <f t="shared" si="9"/>
        <v>41.948209999999996</v>
      </c>
      <c r="H139" t="s">
        <v>697</v>
      </c>
      <c r="J139" s="7">
        <f>D139+8.5</f>
        <v>243.19</v>
      </c>
      <c r="K139">
        <f t="shared" si="8"/>
        <v>243.19</v>
      </c>
    </row>
    <row r="140" spans="1:11" x14ac:dyDescent="0.15">
      <c r="A140" s="6">
        <v>138</v>
      </c>
      <c r="B140" t="s">
        <v>157</v>
      </c>
      <c r="C140" t="s">
        <v>23</v>
      </c>
      <c r="D140" s="7">
        <v>339.5</v>
      </c>
      <c r="E140" s="7">
        <v>339.5</v>
      </c>
      <c r="F140" s="7">
        <v>0.42</v>
      </c>
      <c r="G140" s="7">
        <f t="shared" si="9"/>
        <v>42.287709999999997</v>
      </c>
      <c r="H140" t="s">
        <v>697</v>
      </c>
      <c r="K140">
        <f t="shared" si="8"/>
        <v>339.5</v>
      </c>
    </row>
    <row r="141" spans="1:11" x14ac:dyDescent="0.15">
      <c r="A141" s="6">
        <v>139</v>
      </c>
      <c r="B141" t="s">
        <v>158</v>
      </c>
      <c r="C141" t="s">
        <v>28</v>
      </c>
      <c r="D141" s="7">
        <v>304.55</v>
      </c>
      <c r="E141" s="7">
        <v>313.05</v>
      </c>
      <c r="F141" s="7">
        <v>12.82</v>
      </c>
      <c r="G141" s="7">
        <f t="shared" si="9"/>
        <v>42.600759999999994</v>
      </c>
      <c r="H141" t="s">
        <v>697</v>
      </c>
      <c r="J141" s="7">
        <f>D141+8.5</f>
        <v>313.05</v>
      </c>
      <c r="K141">
        <f t="shared" si="8"/>
        <v>313.05</v>
      </c>
    </row>
    <row r="142" spans="1:11" x14ac:dyDescent="0.15">
      <c r="A142" s="6">
        <v>140</v>
      </c>
      <c r="B142" t="s">
        <v>159</v>
      </c>
      <c r="C142" t="s">
        <v>23</v>
      </c>
      <c r="D142" s="7">
        <v>380.93</v>
      </c>
      <c r="E142" s="7">
        <v>380.93</v>
      </c>
      <c r="F142" s="7">
        <v>0.11</v>
      </c>
      <c r="G142" s="7">
        <f t="shared" si="9"/>
        <v>42.981689999999993</v>
      </c>
      <c r="H142" t="s">
        <v>697</v>
      </c>
      <c r="K142">
        <f t="shared" si="8"/>
        <v>380.93</v>
      </c>
    </row>
    <row r="143" spans="1:11" x14ac:dyDescent="0.15">
      <c r="A143" s="6">
        <v>141</v>
      </c>
      <c r="B143" t="s">
        <v>160</v>
      </c>
      <c r="C143" t="s">
        <v>23</v>
      </c>
      <c r="D143" s="7">
        <v>376.71</v>
      </c>
      <c r="E143" s="7">
        <v>376.71</v>
      </c>
      <c r="F143" s="7">
        <v>0.08</v>
      </c>
      <c r="G143" s="7">
        <f t="shared" si="9"/>
        <v>43.358399999999996</v>
      </c>
      <c r="H143" t="s">
        <v>697</v>
      </c>
      <c r="K143">
        <f t="shared" si="8"/>
        <v>376.71</v>
      </c>
    </row>
    <row r="144" spans="1:11" x14ac:dyDescent="0.15">
      <c r="A144" s="6">
        <v>142</v>
      </c>
      <c r="B144" t="s">
        <v>161</v>
      </c>
      <c r="C144" t="s">
        <v>23</v>
      </c>
      <c r="D144" s="7">
        <v>355.51</v>
      </c>
      <c r="E144" s="7">
        <v>355.51</v>
      </c>
      <c r="F144" s="7">
        <v>0.16</v>
      </c>
      <c r="G144" s="7">
        <f t="shared" si="9"/>
        <v>43.713909999999998</v>
      </c>
      <c r="H144" t="s">
        <v>697</v>
      </c>
      <c r="K144">
        <f t="shared" si="8"/>
        <v>355.51</v>
      </c>
    </row>
    <row r="145" spans="1:11" x14ac:dyDescent="0.15">
      <c r="A145" s="6">
        <v>143</v>
      </c>
      <c r="B145" t="s">
        <v>162</v>
      </c>
      <c r="C145" t="s">
        <v>23</v>
      </c>
      <c r="D145" s="7">
        <v>279.11</v>
      </c>
      <c r="E145" s="7">
        <v>279.11</v>
      </c>
      <c r="F145" s="7">
        <v>0.45</v>
      </c>
      <c r="G145" s="7">
        <f t="shared" si="9"/>
        <v>43.993020000000001</v>
      </c>
      <c r="H145" t="s">
        <v>697</v>
      </c>
      <c r="K145">
        <f t="shared" si="8"/>
        <v>279.11</v>
      </c>
    </row>
    <row r="146" spans="1:11" x14ac:dyDescent="0.15">
      <c r="A146" s="6">
        <v>144</v>
      </c>
      <c r="B146" t="s">
        <v>163</v>
      </c>
      <c r="C146" t="s">
        <v>23</v>
      </c>
      <c r="D146" s="7">
        <v>343.8</v>
      </c>
      <c r="E146" s="7">
        <v>343.8</v>
      </c>
      <c r="F146" s="7">
        <v>0.6</v>
      </c>
      <c r="G146" s="7">
        <f t="shared" si="9"/>
        <v>44.336820000000003</v>
      </c>
      <c r="H146" t="s">
        <v>697</v>
      </c>
      <c r="K146">
        <f t="shared" si="8"/>
        <v>343.8</v>
      </c>
    </row>
    <row r="147" spans="1:11" x14ac:dyDescent="0.15">
      <c r="A147" s="6">
        <v>145</v>
      </c>
      <c r="B147" t="s">
        <v>164</v>
      </c>
      <c r="C147" t="s">
        <v>23</v>
      </c>
      <c r="D147" s="7">
        <v>243.6</v>
      </c>
      <c r="E147" s="7">
        <v>243.6</v>
      </c>
      <c r="F147" s="7">
        <v>4.7</v>
      </c>
      <c r="G147" s="7">
        <f t="shared" si="9"/>
        <v>44.580420000000004</v>
      </c>
      <c r="H147" t="s">
        <v>697</v>
      </c>
      <c r="K147">
        <f t="shared" si="8"/>
        <v>243.6</v>
      </c>
    </row>
    <row r="148" spans="1:11" x14ac:dyDescent="0.15">
      <c r="A148" s="6">
        <v>146</v>
      </c>
      <c r="B148" t="s">
        <v>165</v>
      </c>
      <c r="C148" t="s">
        <v>23</v>
      </c>
      <c r="D148" s="7">
        <v>339.13</v>
      </c>
      <c r="E148" s="7">
        <v>339.13</v>
      </c>
      <c r="F148" s="7">
        <v>3.2</v>
      </c>
      <c r="G148" s="7">
        <f t="shared" si="9"/>
        <v>44.919550000000001</v>
      </c>
      <c r="H148" t="s">
        <v>697</v>
      </c>
      <c r="K148">
        <f t="shared" si="8"/>
        <v>339.13</v>
      </c>
    </row>
    <row r="149" spans="1:11" x14ac:dyDescent="0.15">
      <c r="A149" s="6">
        <v>147</v>
      </c>
      <c r="B149" t="s">
        <v>166</v>
      </c>
      <c r="C149" t="s">
        <v>23</v>
      </c>
      <c r="D149" s="7">
        <v>335.02</v>
      </c>
      <c r="E149" s="7">
        <v>335.02</v>
      </c>
      <c r="F149" s="7">
        <v>0.1</v>
      </c>
      <c r="G149" s="7">
        <f t="shared" si="9"/>
        <v>45.254570000000001</v>
      </c>
      <c r="H149" t="s">
        <v>697</v>
      </c>
      <c r="K149">
        <f t="shared" si="8"/>
        <v>335.02</v>
      </c>
    </row>
    <row r="150" spans="1:11" x14ac:dyDescent="0.15">
      <c r="A150" s="6">
        <v>148</v>
      </c>
      <c r="B150" t="s">
        <v>167</v>
      </c>
      <c r="C150" t="s">
        <v>28</v>
      </c>
      <c r="D150" s="7">
        <v>165.2</v>
      </c>
      <c r="E150" s="7">
        <v>173.7</v>
      </c>
      <c r="F150" s="7">
        <v>29.42</v>
      </c>
      <c r="G150" s="7">
        <f t="shared" si="9"/>
        <v>45.428269999999998</v>
      </c>
      <c r="H150" t="s">
        <v>697</v>
      </c>
      <c r="J150" s="7">
        <f t="shared" ref="J150:J151" si="10">D150+8.5</f>
        <v>173.7</v>
      </c>
      <c r="K150">
        <f t="shared" si="8"/>
        <v>173.7</v>
      </c>
    </row>
    <row r="151" spans="1:11" x14ac:dyDescent="0.15">
      <c r="A151" s="6">
        <v>149</v>
      </c>
      <c r="B151" t="s">
        <v>168</v>
      </c>
      <c r="C151" t="s">
        <v>28</v>
      </c>
      <c r="D151" s="7">
        <v>268.26</v>
      </c>
      <c r="E151" s="7">
        <v>276.76</v>
      </c>
      <c r="F151" s="7">
        <v>20.53</v>
      </c>
      <c r="G151" s="7">
        <f t="shared" si="9"/>
        <v>45.705030000000001</v>
      </c>
      <c r="H151" t="s">
        <v>697</v>
      </c>
      <c r="J151" s="7">
        <f t="shared" si="10"/>
        <v>276.76</v>
      </c>
      <c r="K151">
        <f t="shared" si="8"/>
        <v>276.76</v>
      </c>
    </row>
    <row r="152" spans="1:11" x14ac:dyDescent="0.15">
      <c r="A152" s="6">
        <v>150</v>
      </c>
      <c r="B152" t="s">
        <v>169</v>
      </c>
      <c r="C152" t="s">
        <v>23</v>
      </c>
      <c r="D152" s="7">
        <v>339.09</v>
      </c>
      <c r="E152" s="7">
        <v>339.09</v>
      </c>
      <c r="F152" s="7">
        <v>7.64</v>
      </c>
      <c r="G152" s="7">
        <f t="shared" si="9"/>
        <v>46.044119999999999</v>
      </c>
      <c r="H152" t="s">
        <v>697</v>
      </c>
      <c r="K152">
        <f t="shared" si="8"/>
        <v>339.09</v>
      </c>
    </row>
    <row r="153" spans="1:11" x14ac:dyDescent="0.15">
      <c r="A153" s="6">
        <v>151</v>
      </c>
      <c r="B153" t="s">
        <v>170</v>
      </c>
      <c r="C153" t="s">
        <v>28</v>
      </c>
      <c r="D153" s="7">
        <v>287.62</v>
      </c>
      <c r="E153" s="7">
        <v>296.12</v>
      </c>
      <c r="F153" s="7">
        <v>17.78</v>
      </c>
      <c r="G153" s="7">
        <f t="shared" si="9"/>
        <v>46.340240000000001</v>
      </c>
      <c r="H153" t="s">
        <v>697</v>
      </c>
      <c r="J153" s="7">
        <f t="shared" ref="J153:J154" si="11">D153+8.5</f>
        <v>296.12</v>
      </c>
      <c r="K153">
        <f t="shared" si="8"/>
        <v>296.12</v>
      </c>
    </row>
    <row r="154" spans="1:11" x14ac:dyDescent="0.15">
      <c r="A154" s="6">
        <v>152</v>
      </c>
      <c r="B154" t="s">
        <v>171</v>
      </c>
      <c r="C154" t="s">
        <v>28</v>
      </c>
      <c r="D154" s="7">
        <v>425.33</v>
      </c>
      <c r="E154" s="7">
        <v>433.83</v>
      </c>
      <c r="F154" s="7">
        <v>27.05</v>
      </c>
      <c r="G154" s="7">
        <f t="shared" si="9"/>
        <v>46.774070000000002</v>
      </c>
      <c r="H154" t="s">
        <v>697</v>
      </c>
      <c r="J154" s="7">
        <f t="shared" si="11"/>
        <v>433.83</v>
      </c>
      <c r="K154">
        <f t="shared" si="8"/>
        <v>433.83</v>
      </c>
    </row>
    <row r="155" spans="1:11" x14ac:dyDescent="0.15">
      <c r="A155" s="6">
        <v>153</v>
      </c>
      <c r="B155" t="s">
        <v>172</v>
      </c>
      <c r="C155" t="s">
        <v>23</v>
      </c>
      <c r="D155" s="7">
        <v>270.37</v>
      </c>
      <c r="E155" s="7">
        <v>270.37</v>
      </c>
      <c r="F155" s="7">
        <v>1.1399999999999999</v>
      </c>
      <c r="G155" s="7">
        <f t="shared" si="9"/>
        <v>47.044440000000002</v>
      </c>
      <c r="H155" t="s">
        <v>697</v>
      </c>
      <c r="K155">
        <f t="shared" si="8"/>
        <v>270.37</v>
      </c>
    </row>
    <row r="156" spans="1:11" x14ac:dyDescent="0.15">
      <c r="A156" s="6">
        <v>154</v>
      </c>
      <c r="B156" t="s">
        <v>173</v>
      </c>
      <c r="C156" t="s">
        <v>23</v>
      </c>
      <c r="D156" s="7">
        <v>433.21</v>
      </c>
      <c r="E156" s="7">
        <v>433.21</v>
      </c>
      <c r="F156" s="7">
        <v>3.65</v>
      </c>
      <c r="G156" s="7">
        <f t="shared" si="9"/>
        <v>47.477650000000004</v>
      </c>
      <c r="H156" t="s">
        <v>697</v>
      </c>
      <c r="K156">
        <f t="shared" si="8"/>
        <v>433.21</v>
      </c>
    </row>
    <row r="157" spans="1:11" x14ac:dyDescent="0.15">
      <c r="A157" s="6">
        <v>155</v>
      </c>
      <c r="B157" t="s">
        <v>174</v>
      </c>
      <c r="C157" t="s">
        <v>19</v>
      </c>
      <c r="D157" s="7">
        <v>227.72</v>
      </c>
      <c r="E157" s="7">
        <v>236.22</v>
      </c>
      <c r="F157" s="7">
        <v>55.83</v>
      </c>
      <c r="G157" s="7">
        <f t="shared" si="9"/>
        <v>47.713870000000007</v>
      </c>
      <c r="H157" t="s">
        <v>697</v>
      </c>
      <c r="J157" s="7">
        <f>D157+8.5</f>
        <v>236.22</v>
      </c>
      <c r="K157">
        <f t="shared" si="8"/>
        <v>236.22</v>
      </c>
    </row>
    <row r="158" spans="1:11" x14ac:dyDescent="0.15">
      <c r="A158" s="6">
        <v>156</v>
      </c>
      <c r="B158" t="s">
        <v>175</v>
      </c>
      <c r="C158" t="s">
        <v>23</v>
      </c>
      <c r="D158" s="7">
        <v>302.3</v>
      </c>
      <c r="E158" s="7">
        <v>302.3</v>
      </c>
      <c r="F158" s="7">
        <v>0.97</v>
      </c>
      <c r="G158" s="7">
        <f t="shared" si="9"/>
        <v>48.01617000000001</v>
      </c>
      <c r="H158" t="s">
        <v>697</v>
      </c>
      <c r="K158">
        <f t="shared" si="8"/>
        <v>302.3</v>
      </c>
    </row>
    <row r="159" spans="1:11" x14ac:dyDescent="0.15">
      <c r="A159" s="6">
        <v>157</v>
      </c>
      <c r="B159" t="s">
        <v>176</v>
      </c>
      <c r="C159" t="s">
        <v>28</v>
      </c>
      <c r="D159" s="7">
        <v>294.92</v>
      </c>
      <c r="E159" s="7">
        <v>303.42</v>
      </c>
      <c r="F159" s="7">
        <v>10.98</v>
      </c>
      <c r="G159" s="7">
        <f t="shared" si="9"/>
        <v>48.319590000000012</v>
      </c>
      <c r="H159" t="s">
        <v>697</v>
      </c>
      <c r="J159" s="7">
        <f>D159+8.5</f>
        <v>303.42</v>
      </c>
      <c r="K159">
        <f t="shared" si="8"/>
        <v>303.42</v>
      </c>
    </row>
    <row r="160" spans="1:11" x14ac:dyDescent="0.15">
      <c r="A160" s="6">
        <v>158</v>
      </c>
      <c r="B160" t="s">
        <v>177</v>
      </c>
      <c r="C160" t="s">
        <v>23</v>
      </c>
      <c r="D160" s="7">
        <v>317.64</v>
      </c>
      <c r="E160" s="7">
        <v>317.64</v>
      </c>
      <c r="F160" s="7">
        <v>1.18</v>
      </c>
      <c r="G160" s="7">
        <f t="shared" si="9"/>
        <v>48.63723000000001</v>
      </c>
      <c r="H160" t="s">
        <v>697</v>
      </c>
      <c r="K160">
        <f t="shared" si="8"/>
        <v>317.64</v>
      </c>
    </row>
    <row r="161" spans="1:11" x14ac:dyDescent="0.15">
      <c r="A161" s="6">
        <v>159</v>
      </c>
      <c r="B161" t="s">
        <v>178</v>
      </c>
      <c r="C161" t="s">
        <v>23</v>
      </c>
      <c r="D161" s="7">
        <v>289.07</v>
      </c>
      <c r="E161" s="7">
        <v>289.07</v>
      </c>
      <c r="F161" s="7">
        <v>0.3</v>
      </c>
      <c r="G161" s="7">
        <f t="shared" si="9"/>
        <v>48.926300000000012</v>
      </c>
      <c r="H161" t="s">
        <v>697</v>
      </c>
      <c r="K161">
        <f t="shared" si="8"/>
        <v>289.07</v>
      </c>
    </row>
    <row r="162" spans="1:11" x14ac:dyDescent="0.15">
      <c r="A162" s="6">
        <v>160</v>
      </c>
      <c r="B162" t="s">
        <v>179</v>
      </c>
      <c r="C162" t="s">
        <v>28</v>
      </c>
      <c r="D162" s="7">
        <v>352.92</v>
      </c>
      <c r="E162" s="7">
        <v>361.42</v>
      </c>
      <c r="F162" s="7">
        <v>3.91</v>
      </c>
      <c r="G162" s="7">
        <f t="shared" si="9"/>
        <v>49.287720000000014</v>
      </c>
      <c r="H162" t="s">
        <v>697</v>
      </c>
      <c r="J162" s="7">
        <f>D162+8.5</f>
        <v>361.42</v>
      </c>
      <c r="K162">
        <f t="shared" si="8"/>
        <v>361.42</v>
      </c>
    </row>
    <row r="163" spans="1:11" x14ac:dyDescent="0.15">
      <c r="A163" s="6">
        <v>161</v>
      </c>
      <c r="B163" t="s">
        <v>180</v>
      </c>
      <c r="C163" t="s">
        <v>23</v>
      </c>
      <c r="D163" s="7">
        <v>315.22000000000003</v>
      </c>
      <c r="E163" s="7">
        <v>315.22000000000003</v>
      </c>
      <c r="F163" s="7">
        <v>0.2</v>
      </c>
      <c r="G163" s="7">
        <f t="shared" si="9"/>
        <v>49.602940000000011</v>
      </c>
      <c r="H163" t="s">
        <v>697</v>
      </c>
      <c r="K163">
        <f t="shared" si="8"/>
        <v>315.22000000000003</v>
      </c>
    </row>
    <row r="164" spans="1:11" x14ac:dyDescent="0.15">
      <c r="A164" s="6">
        <v>162</v>
      </c>
      <c r="B164" t="s">
        <v>681</v>
      </c>
      <c r="C164" t="s">
        <v>23</v>
      </c>
      <c r="D164" s="7">
        <v>298.77</v>
      </c>
      <c r="E164" s="7">
        <v>298.77</v>
      </c>
      <c r="F164" s="7">
        <v>1.03</v>
      </c>
      <c r="G164" s="7">
        <f t="shared" si="9"/>
        <v>49.901710000000008</v>
      </c>
      <c r="H164" t="s">
        <v>697</v>
      </c>
      <c r="K164">
        <f t="shared" si="8"/>
        <v>298.77</v>
      </c>
    </row>
    <row r="165" spans="1:11" x14ac:dyDescent="0.15">
      <c r="A165" s="6">
        <v>163</v>
      </c>
      <c r="B165" t="s">
        <v>182</v>
      </c>
      <c r="C165" t="s">
        <v>23</v>
      </c>
      <c r="D165" s="7">
        <v>285.61</v>
      </c>
      <c r="E165" s="7">
        <v>285.61</v>
      </c>
      <c r="F165" s="7">
        <v>1.25</v>
      </c>
      <c r="G165" s="7">
        <f t="shared" si="9"/>
        <v>50.187320000000007</v>
      </c>
      <c r="H165" t="s">
        <v>697</v>
      </c>
      <c r="K165">
        <f t="shared" si="8"/>
        <v>285.61</v>
      </c>
    </row>
    <row r="166" spans="1:11" x14ac:dyDescent="0.15">
      <c r="A166" s="6">
        <v>164</v>
      </c>
      <c r="B166" t="s">
        <v>183</v>
      </c>
      <c r="C166" t="s">
        <v>28</v>
      </c>
      <c r="D166" s="7">
        <v>197.68</v>
      </c>
      <c r="E166" s="7">
        <v>206.18</v>
      </c>
      <c r="F166" s="7">
        <v>15.16</v>
      </c>
      <c r="G166" s="7">
        <f t="shared" si="9"/>
        <v>50.39350000000001</v>
      </c>
      <c r="H166" t="s">
        <v>697</v>
      </c>
      <c r="J166" s="7">
        <f t="shared" ref="J166:J167" si="12">D166+8.5</f>
        <v>206.18</v>
      </c>
      <c r="K166">
        <f t="shared" si="8"/>
        <v>206.18</v>
      </c>
    </row>
    <row r="167" spans="1:11" x14ac:dyDescent="0.15">
      <c r="A167" s="6">
        <v>165</v>
      </c>
      <c r="B167" t="s">
        <v>184</v>
      </c>
      <c r="C167" t="s">
        <v>28</v>
      </c>
      <c r="D167" s="7">
        <v>252.65</v>
      </c>
      <c r="E167" s="7">
        <v>261.14999999999998</v>
      </c>
      <c r="F167" s="7">
        <v>24.88</v>
      </c>
      <c r="G167" s="7">
        <f t="shared" si="9"/>
        <v>50.654650000000011</v>
      </c>
      <c r="H167" t="s">
        <v>697</v>
      </c>
      <c r="J167" s="7">
        <f t="shared" si="12"/>
        <v>261.14999999999998</v>
      </c>
      <c r="K167">
        <f t="shared" si="8"/>
        <v>261.14999999999998</v>
      </c>
    </row>
    <row r="168" spans="1:11" x14ac:dyDescent="0.15">
      <c r="A168" s="6">
        <v>166</v>
      </c>
      <c r="B168" t="s">
        <v>185</v>
      </c>
      <c r="C168" t="s">
        <v>23</v>
      </c>
      <c r="D168" s="7">
        <v>208.52</v>
      </c>
      <c r="E168" s="7">
        <v>208.52</v>
      </c>
      <c r="F168" s="7">
        <v>0.83</v>
      </c>
      <c r="G168" s="7">
        <f t="shared" si="9"/>
        <v>50.863170000000011</v>
      </c>
      <c r="H168" t="s">
        <v>697</v>
      </c>
      <c r="K168">
        <f t="shared" si="8"/>
        <v>208.52</v>
      </c>
    </row>
    <row r="169" spans="1:11" x14ac:dyDescent="0.15">
      <c r="A169" s="6">
        <v>167</v>
      </c>
      <c r="B169" t="s">
        <v>186</v>
      </c>
      <c r="C169" t="s">
        <v>23</v>
      </c>
      <c r="D169" s="7">
        <v>289.43</v>
      </c>
      <c r="E169" s="7">
        <v>289.43</v>
      </c>
      <c r="F169" s="7">
        <v>2.39</v>
      </c>
      <c r="G169" s="7">
        <f t="shared" si="9"/>
        <v>51.152600000000014</v>
      </c>
      <c r="H169" t="s">
        <v>697</v>
      </c>
      <c r="K169">
        <f t="shared" si="8"/>
        <v>289.43</v>
      </c>
    </row>
    <row r="170" spans="1:11" x14ac:dyDescent="0.15">
      <c r="A170" s="6">
        <v>168</v>
      </c>
      <c r="B170" t="s">
        <v>187</v>
      </c>
      <c r="C170" t="s">
        <v>23</v>
      </c>
      <c r="D170" s="7">
        <v>284.48</v>
      </c>
      <c r="E170" s="7">
        <v>284.48</v>
      </c>
      <c r="F170" s="7">
        <v>1.1299999999999999</v>
      </c>
      <c r="G170" s="7">
        <f t="shared" si="9"/>
        <v>51.437080000000016</v>
      </c>
      <c r="H170" t="s">
        <v>697</v>
      </c>
      <c r="K170">
        <f t="shared" si="8"/>
        <v>284.48</v>
      </c>
    </row>
    <row r="171" spans="1:11" x14ac:dyDescent="0.15">
      <c r="A171" s="6">
        <v>169</v>
      </c>
      <c r="B171" t="s">
        <v>188</v>
      </c>
      <c r="C171" t="s">
        <v>28</v>
      </c>
      <c r="D171" s="7">
        <v>357.17</v>
      </c>
      <c r="E171" s="7">
        <v>365.67</v>
      </c>
      <c r="F171" s="7">
        <v>40.840000000000003</v>
      </c>
      <c r="G171" s="7">
        <f t="shared" si="9"/>
        <v>51.802750000000017</v>
      </c>
      <c r="H171" t="s">
        <v>697</v>
      </c>
      <c r="J171" s="7">
        <f>D171+8.5</f>
        <v>365.67</v>
      </c>
      <c r="K171">
        <f t="shared" si="8"/>
        <v>365.67</v>
      </c>
    </row>
    <row r="172" spans="1:11" x14ac:dyDescent="0.15">
      <c r="A172" s="6">
        <v>170</v>
      </c>
      <c r="B172" t="s">
        <v>189</v>
      </c>
      <c r="C172" t="s">
        <v>23</v>
      </c>
      <c r="D172" s="7">
        <v>295.77999999999997</v>
      </c>
      <c r="E172" s="7">
        <v>295.77999999999997</v>
      </c>
      <c r="F172" s="7">
        <v>3.35</v>
      </c>
      <c r="G172" s="7">
        <f t="shared" si="9"/>
        <v>52.098530000000018</v>
      </c>
      <c r="H172" t="s">
        <v>697</v>
      </c>
      <c r="K172">
        <f t="shared" si="8"/>
        <v>295.77999999999997</v>
      </c>
    </row>
    <row r="173" spans="1:11" x14ac:dyDescent="0.15">
      <c r="A173" s="6">
        <v>171</v>
      </c>
      <c r="B173" t="s">
        <v>190</v>
      </c>
      <c r="C173" t="s">
        <v>23</v>
      </c>
      <c r="D173" s="7">
        <v>346.62</v>
      </c>
      <c r="E173" s="7">
        <v>346.62</v>
      </c>
      <c r="F173" s="7">
        <v>4.8499999999999996</v>
      </c>
      <c r="G173" s="7">
        <f t="shared" si="9"/>
        <v>52.445150000000019</v>
      </c>
      <c r="H173" t="s">
        <v>697</v>
      </c>
      <c r="K173">
        <f t="shared" si="8"/>
        <v>346.62</v>
      </c>
    </row>
    <row r="174" spans="1:11" x14ac:dyDescent="0.15">
      <c r="A174" s="6">
        <v>172</v>
      </c>
      <c r="B174" t="s">
        <v>191</v>
      </c>
      <c r="C174" t="s">
        <v>23</v>
      </c>
      <c r="D174" s="7">
        <v>201.94</v>
      </c>
      <c r="E174" s="7">
        <v>201.94</v>
      </c>
      <c r="F174" s="7">
        <v>5.83</v>
      </c>
      <c r="G174" s="7">
        <f t="shared" si="9"/>
        <v>52.64709000000002</v>
      </c>
      <c r="H174" t="s">
        <v>697</v>
      </c>
      <c r="K174">
        <f t="shared" si="8"/>
        <v>201.94</v>
      </c>
    </row>
    <row r="175" spans="1:11" x14ac:dyDescent="0.15">
      <c r="A175" s="6">
        <v>173</v>
      </c>
      <c r="B175" t="s">
        <v>192</v>
      </c>
      <c r="C175" t="s">
        <v>23</v>
      </c>
      <c r="D175" s="7">
        <v>374.76</v>
      </c>
      <c r="E175" s="7">
        <v>374.76</v>
      </c>
      <c r="F175" s="7">
        <v>4.38</v>
      </c>
      <c r="G175" s="7">
        <f t="shared" si="9"/>
        <v>53.021850000000022</v>
      </c>
      <c r="H175" t="s">
        <v>697</v>
      </c>
      <c r="K175">
        <f t="shared" si="8"/>
        <v>374.76</v>
      </c>
    </row>
    <row r="176" spans="1:11" x14ac:dyDescent="0.15">
      <c r="A176" s="6">
        <v>174</v>
      </c>
      <c r="B176" t="s">
        <v>193</v>
      </c>
      <c r="C176" t="s">
        <v>23</v>
      </c>
      <c r="D176" s="7">
        <v>341.21</v>
      </c>
      <c r="E176" s="7">
        <v>341.21</v>
      </c>
      <c r="F176" s="7">
        <v>0.86</v>
      </c>
      <c r="G176" s="7">
        <f t="shared" si="9"/>
        <v>53.363060000000019</v>
      </c>
      <c r="H176" t="s">
        <v>697</v>
      </c>
      <c r="K176">
        <f t="shared" si="8"/>
        <v>341.21</v>
      </c>
    </row>
    <row r="177" spans="1:11" x14ac:dyDescent="0.15">
      <c r="A177" s="6">
        <v>175</v>
      </c>
      <c r="B177" t="s">
        <v>194</v>
      </c>
      <c r="C177" t="s">
        <v>23</v>
      </c>
      <c r="D177" s="7">
        <v>388.92</v>
      </c>
      <c r="E177" s="7">
        <v>388.92</v>
      </c>
      <c r="F177" s="7">
        <v>0.14000000000000001</v>
      </c>
      <c r="G177" s="7">
        <f t="shared" si="9"/>
        <v>53.751980000000017</v>
      </c>
      <c r="H177" t="s">
        <v>697</v>
      </c>
      <c r="K177">
        <f t="shared" si="8"/>
        <v>388.92</v>
      </c>
    </row>
    <row r="178" spans="1:11" x14ac:dyDescent="0.15">
      <c r="A178" s="6">
        <v>176</v>
      </c>
      <c r="B178" t="s">
        <v>195</v>
      </c>
      <c r="C178" t="s">
        <v>23</v>
      </c>
      <c r="D178" s="7">
        <v>284.04000000000002</v>
      </c>
      <c r="E178" s="7">
        <v>284.04000000000002</v>
      </c>
      <c r="F178" s="7">
        <v>0.93</v>
      </c>
      <c r="G178" s="7">
        <f t="shared" si="9"/>
        <v>54.036020000000015</v>
      </c>
      <c r="H178" t="s">
        <v>697</v>
      </c>
      <c r="K178">
        <f t="shared" si="8"/>
        <v>284.04000000000002</v>
      </c>
    </row>
    <row r="179" spans="1:11" x14ac:dyDescent="0.15">
      <c r="A179" s="6">
        <v>177</v>
      </c>
      <c r="B179" t="s">
        <v>196</v>
      </c>
      <c r="C179" t="s">
        <v>28</v>
      </c>
      <c r="D179" s="7">
        <v>331.47</v>
      </c>
      <c r="E179" s="7">
        <v>339.97</v>
      </c>
      <c r="F179" s="7">
        <v>11.27</v>
      </c>
      <c r="G179" s="7">
        <f t="shared" si="9"/>
        <v>54.375990000000016</v>
      </c>
      <c r="H179" t="s">
        <v>697</v>
      </c>
      <c r="J179" s="7">
        <f>D179+8.5</f>
        <v>339.97</v>
      </c>
      <c r="K179">
        <f t="shared" si="8"/>
        <v>339.97</v>
      </c>
    </row>
    <row r="180" spans="1:11" x14ac:dyDescent="0.15">
      <c r="A180" s="6">
        <v>178</v>
      </c>
      <c r="B180" t="s">
        <v>197</v>
      </c>
      <c r="C180" t="s">
        <v>23</v>
      </c>
      <c r="D180" s="7">
        <v>261.58999999999997</v>
      </c>
      <c r="E180" s="7">
        <v>261.58999999999997</v>
      </c>
      <c r="F180" s="7">
        <v>0.35</v>
      </c>
      <c r="G180" s="7">
        <f t="shared" si="9"/>
        <v>54.637580000000014</v>
      </c>
      <c r="H180" t="s">
        <v>697</v>
      </c>
      <c r="K180">
        <f t="shared" si="8"/>
        <v>261.58999999999997</v>
      </c>
    </row>
    <row r="181" spans="1:11" x14ac:dyDescent="0.15">
      <c r="A181" s="6">
        <v>179</v>
      </c>
      <c r="B181" t="s">
        <v>198</v>
      </c>
      <c r="C181" t="s">
        <v>23</v>
      </c>
      <c r="D181" s="7">
        <v>236.69</v>
      </c>
      <c r="E181" s="7">
        <v>236.69</v>
      </c>
      <c r="F181" s="7">
        <v>1.03</v>
      </c>
      <c r="G181" s="7">
        <f t="shared" si="9"/>
        <v>54.874270000000017</v>
      </c>
      <c r="H181" t="s">
        <v>697</v>
      </c>
      <c r="K181">
        <f t="shared" si="8"/>
        <v>236.69</v>
      </c>
    </row>
    <row r="182" spans="1:11" x14ac:dyDescent="0.15">
      <c r="A182" s="6">
        <v>180</v>
      </c>
      <c r="B182" t="s">
        <v>199</v>
      </c>
      <c r="C182" t="s">
        <v>28</v>
      </c>
      <c r="D182" s="7">
        <v>365.21</v>
      </c>
      <c r="E182" s="7">
        <v>373.71</v>
      </c>
      <c r="F182" s="7">
        <v>30.1</v>
      </c>
      <c r="G182" s="7">
        <f t="shared" si="9"/>
        <v>55.24798000000002</v>
      </c>
      <c r="H182" t="s">
        <v>697</v>
      </c>
      <c r="J182" s="7">
        <f t="shared" ref="J182:J183" si="13">D182+8.5</f>
        <v>373.71</v>
      </c>
      <c r="K182">
        <f t="shared" si="8"/>
        <v>373.71</v>
      </c>
    </row>
    <row r="183" spans="1:11" x14ac:dyDescent="0.15">
      <c r="A183" s="6">
        <v>181</v>
      </c>
      <c r="B183" t="s">
        <v>200</v>
      </c>
      <c r="C183" t="s">
        <v>14</v>
      </c>
      <c r="D183" s="7">
        <v>105.48</v>
      </c>
      <c r="E183" s="7">
        <v>113.98</v>
      </c>
      <c r="F183" s="7">
        <v>3.59</v>
      </c>
      <c r="G183" s="7">
        <f t="shared" si="9"/>
        <v>55.361960000000018</v>
      </c>
      <c r="H183" t="s">
        <v>697</v>
      </c>
      <c r="J183" s="7">
        <f t="shared" si="13"/>
        <v>113.98</v>
      </c>
      <c r="K183">
        <f t="shared" si="8"/>
        <v>113.98</v>
      </c>
    </row>
    <row r="184" spans="1:11" x14ac:dyDescent="0.15">
      <c r="A184" s="6">
        <v>182</v>
      </c>
      <c r="B184" t="s">
        <v>705</v>
      </c>
      <c r="C184" t="s">
        <v>10</v>
      </c>
      <c r="D184" s="7">
        <v>22</v>
      </c>
      <c r="E184" s="7">
        <v>22</v>
      </c>
      <c r="F184" s="7">
        <v>122.8</v>
      </c>
      <c r="G184" s="7">
        <f t="shared" si="9"/>
        <v>55.383960000000016</v>
      </c>
      <c r="H184" t="s">
        <v>697</v>
      </c>
      <c r="K184">
        <f t="shared" si="8"/>
        <v>22</v>
      </c>
    </row>
  </sheetData>
  <autoFilter ref="A1:I184" xr:uid="{C847B6D4-EFAB-437C-B432-DFA30E85681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L#259 MTPS-RANCHI</vt:lpstr>
      <vt:lpstr>L#249 RAMGARH-RANCHI</vt:lpstr>
      <vt:lpstr>L#250 MTPS-RAMGARH</vt:lpstr>
      <vt:lpstr>L#213 AND L#214 JSR-BTPS</vt:lpstr>
      <vt:lpstr>L#233 AND L234 RAMGARH-BTPS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CE.TRANS</dc:creator>
  <cp:keywords/>
  <dc:description/>
  <cp:lastModifiedBy>RAJAN  KUMAR  DUBEY</cp:lastModifiedBy>
  <cp:revision/>
  <dcterms:created xsi:type="dcterms:W3CDTF">2022-08-24T12:12:10Z</dcterms:created>
  <dcterms:modified xsi:type="dcterms:W3CDTF">2026-09-17T14:38:19Z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b9c9b51-ff7f-4320-ad87-a0d550b38af4_Enabled">
    <vt:lpwstr>true</vt:lpwstr>
  </property>
  <property fmtid="{D5CDD505-2E9C-101B-9397-08002B2CF9AE}" pid="3" name="MSIP_Label_0b9c9b51-ff7f-4320-ad87-a0d550b38af4_SetDate">
    <vt:lpwstr>2026-06-02T09:26:15Z</vt:lpwstr>
  </property>
  <property fmtid="{D5CDD505-2E9C-101B-9397-08002B2CF9AE}" pid="4" name="MSIP_Label_0b9c9b51-ff7f-4320-ad87-a0d550b38af4_Method">
    <vt:lpwstr>Standard</vt:lpwstr>
  </property>
  <property fmtid="{D5CDD505-2E9C-101B-9397-08002B2CF9AE}" pid="5" name="MSIP_Label_0b9c9b51-ff7f-4320-ad87-a0d550b38af4_Name">
    <vt:lpwstr>Internal</vt:lpwstr>
  </property>
  <property fmtid="{D5CDD505-2E9C-101B-9397-08002B2CF9AE}" pid="6" name="MSIP_Label_0b9c9b51-ff7f-4320-ad87-a0d550b38af4_SiteId">
    <vt:lpwstr>cf94827a-bc3d-4b63-8feb-432960d2d81b</vt:lpwstr>
  </property>
  <property fmtid="{D5CDD505-2E9C-101B-9397-08002B2CF9AE}" pid="7" name="MSIP_Label_0b9c9b51-ff7f-4320-ad87-a0d550b38af4_ActionId">
    <vt:lpwstr>aa3a58e3-591d-4eaa-9a1f-e01bb746b736</vt:lpwstr>
  </property>
  <property fmtid="{D5CDD505-2E9C-101B-9397-08002B2CF9AE}" pid="8" name="MSIP_Label_0b9c9b51-ff7f-4320-ad87-a0d550b38af4_ContentBits">
    <vt:lpwstr>2</vt:lpwstr>
  </property>
  <property fmtid="{D5CDD505-2E9C-101B-9397-08002B2CF9AE}" pid="9" name="MSIP_Label_0b9c9b51-ff7f-4320-ad87-a0d550b38af4_Tag">
    <vt:lpwstr>10, 3, 0, 1</vt:lpwstr>
  </property>
</Properties>
</file>